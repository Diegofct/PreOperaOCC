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EOLAB\Formatos\"/>
    </mc:Choice>
  </mc:AlternateContent>
  <xr:revisionPtr revIDLastSave="0" documentId="8_{B91EC78E-9B10-4FA8-9827-BFA729D4635D}" xr6:coauthVersionLast="47" xr6:coauthVersionMax="47" xr10:uidLastSave="{00000000-0000-0000-0000-000000000000}"/>
  <bookViews>
    <workbookView xWindow="-120" yWindow="-120" windowWidth="20730" windowHeight="11040" xr2:uid="{27A127FE-07BD-493D-A06B-71C3FD144D1B}"/>
  </bookViews>
  <sheets>
    <sheet name="LAB-FR-01-2025 (8)" sheetId="1" r:id="rId1"/>
  </sheets>
  <externalReferences>
    <externalReference r:id="rId2"/>
    <externalReference r:id="rId3"/>
  </externalReferences>
  <definedNames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hidden="1">#REF!</definedName>
    <definedName name="_xlnm.Print_Area" localSheetId="0">'LAB-FR-01-2025 (8)'!$A$1:$L$59</definedName>
    <definedName name="MATRIZ.D">#REF!</definedName>
    <definedName name="MATRIZ.E">'[2]EXTRACCIÓN (PARAFINADA)'!#REF!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5" i="1" l="1"/>
  <c r="O44" i="1"/>
  <c r="O43" i="1"/>
  <c r="O42" i="1"/>
  <c r="O41" i="1"/>
  <c r="O40" i="1"/>
  <c r="O39" i="1"/>
  <c r="O38" i="1"/>
  <c r="O37" i="1"/>
  <c r="O36" i="1"/>
  <c r="O35" i="1"/>
  <c r="D30" i="1"/>
  <c r="D22" i="1"/>
  <c r="J19" i="1"/>
  <c r="D27" i="1" s="1"/>
  <c r="J17" i="1"/>
  <c r="D15" i="1"/>
  <c r="E15" i="1" s="1"/>
  <c r="F15" i="1" s="1"/>
  <c r="P36" i="1" s="1"/>
  <c r="D25" i="1" l="1"/>
  <c r="D20" i="1"/>
  <c r="D28" i="1"/>
  <c r="D18" i="1"/>
  <c r="E18" i="1" s="1"/>
  <c r="F18" i="1" s="1"/>
  <c r="D23" i="1"/>
  <c r="D16" i="1"/>
  <c r="E16" i="1" s="1"/>
  <c r="F16" i="1" s="1"/>
  <c r="P37" i="1" s="1"/>
  <c r="D26" i="1"/>
  <c r="D19" i="1"/>
  <c r="D24" i="1"/>
  <c r="D21" i="1"/>
  <c r="D29" i="1"/>
  <c r="D17" i="1"/>
  <c r="E17" i="1" s="1"/>
  <c r="F17" i="1" s="1"/>
  <c r="P38" i="1" s="1"/>
  <c r="E19" i="1" l="1"/>
  <c r="F19" i="1" s="1"/>
  <c r="P39" i="1" s="1"/>
  <c r="E20" i="1" l="1"/>
  <c r="F20" i="1" l="1"/>
  <c r="P40" i="1" s="1"/>
  <c r="E21" i="1"/>
  <c r="F21" i="1" l="1"/>
  <c r="P41" i="1" s="1"/>
  <c r="E22" i="1"/>
  <c r="F22" i="1" l="1"/>
  <c r="E23" i="1"/>
  <c r="F23" i="1" l="1"/>
  <c r="P42" i="1" s="1"/>
  <c r="E24" i="1"/>
  <c r="F24" i="1" l="1"/>
  <c r="E25" i="1"/>
  <c r="F25" i="1" l="1"/>
  <c r="E26" i="1"/>
  <c r="F26" i="1" l="1"/>
  <c r="P43" i="1" s="1"/>
  <c r="E27" i="1"/>
  <c r="F27" i="1" l="1"/>
  <c r="E28" i="1"/>
  <c r="F28" i="1" l="1"/>
  <c r="P44" i="1" s="1"/>
  <c r="E29" i="1"/>
  <c r="F29" i="1" l="1"/>
  <c r="P45" i="1" s="1"/>
  <c r="E30" i="1"/>
  <c r="F30" i="1" s="1"/>
</calcChain>
</file>

<file path=xl/sharedStrings.xml><?xml version="1.0" encoding="utf-8"?>
<sst xmlns="http://schemas.openxmlformats.org/spreadsheetml/2006/main" count="75" uniqueCount="70">
  <si>
    <r>
      <rPr>
        <b/>
        <sz val="14"/>
        <rFont val="Arial"/>
        <family val="2"/>
      </rPr>
      <t xml:space="preserve"> DETERMINACION DE LOS TAMAÑOS DE LAS PARTICULAS DE SUELOS</t>
    </r>
    <r>
      <rPr>
        <b/>
        <sz val="10"/>
        <rFont val="Arial"/>
        <family val="2"/>
      </rPr>
      <t xml:space="preserve">
INV E 123 - 13</t>
    </r>
  </si>
  <si>
    <r>
      <rPr>
        <b/>
        <sz val="10"/>
        <rFont val="Arial"/>
        <family val="2"/>
      </rPr>
      <t xml:space="preserve">Código
</t>
    </r>
    <r>
      <rPr>
        <sz val="10"/>
        <rFont val="Arial"/>
        <family val="2"/>
      </rPr>
      <t>LAB-FR-01-2025</t>
    </r>
  </si>
  <si>
    <t>Versión 0.0</t>
  </si>
  <si>
    <r>
      <rPr>
        <b/>
        <sz val="10"/>
        <rFont val="Arial"/>
        <family val="2"/>
      </rPr>
      <t xml:space="preserve">Fecha actualización:
</t>
    </r>
    <r>
      <rPr>
        <sz val="10"/>
        <rFont val="Arial"/>
        <family val="2"/>
      </rPr>
      <t>2025/08/11</t>
    </r>
  </si>
  <si>
    <t>CONTRATO No .25OO111B2823 DE 2025.
ACTIVIDADES DE MEJORAMIENTO Y MANTENIMIENTO PARA LA ESTABILIZACIÓN DE LAS VÍAS A CARGO DEL DEPARTAMENTO DE ANTIOQUIA (LOTE 4 MAGDALENA MEDIO)</t>
  </si>
  <si>
    <t xml:space="preserve">Descripción del material </t>
  </si>
  <si>
    <t>Subbase granular</t>
  </si>
  <si>
    <t>Fuente</t>
  </si>
  <si>
    <t>Cantera la Fortune</t>
  </si>
  <si>
    <t>Localización</t>
  </si>
  <si>
    <t>CANTERA #2 (PUERTO NARE)</t>
  </si>
  <si>
    <t>No. de Informe</t>
  </si>
  <si>
    <t>No. 6</t>
  </si>
  <si>
    <t>Fecha de 
recepción</t>
  </si>
  <si>
    <t>Fecha de 
ejecución</t>
  </si>
  <si>
    <t>Fecha de emisión</t>
  </si>
  <si>
    <t>Laboratorista</t>
  </si>
  <si>
    <t>Jesus Gutierrez</t>
  </si>
  <si>
    <t xml:space="preserve">Tamiz </t>
  </si>
  <si>
    <t xml:space="preserve">Masa Retenida (g) </t>
  </si>
  <si>
    <t>% Retenido</t>
  </si>
  <si>
    <t>% Retenido Acumulado</t>
  </si>
  <si>
    <t>% Pasa</t>
  </si>
  <si>
    <t>mm</t>
  </si>
  <si>
    <t>U.S. Standard</t>
  </si>
  <si>
    <t xml:space="preserve">  Masa inicial húmeda (g):</t>
  </si>
  <si>
    <t>2"</t>
  </si>
  <si>
    <t xml:space="preserve">  Masa inicial seca M1 (g):</t>
  </si>
  <si>
    <t>11/2"</t>
  </si>
  <si>
    <t>Masa inicial seca despues del lavado M2 (g)</t>
  </si>
  <si>
    <t>1"</t>
  </si>
  <si>
    <t xml:space="preserve">  Humedad (%):</t>
  </si>
  <si>
    <t>3/4"</t>
  </si>
  <si>
    <t xml:space="preserve">  Peso Tara (g)</t>
  </si>
  <si>
    <t>1/2"</t>
  </si>
  <si>
    <t xml:space="preserve">  Peso Seco sin Tara</t>
  </si>
  <si>
    <t>3/8"</t>
  </si>
  <si>
    <t xml:space="preserve">  Tamaño máximo:</t>
  </si>
  <si>
    <t>No. 4</t>
  </si>
  <si>
    <t xml:space="preserve">  Tamaño máximo nominal:</t>
  </si>
  <si>
    <t>1 1/2"</t>
  </si>
  <si>
    <t>No. 8</t>
  </si>
  <si>
    <t>No.10</t>
  </si>
  <si>
    <t>OBSERVACIONES</t>
  </si>
  <si>
    <t>No.16</t>
  </si>
  <si>
    <t>No.30</t>
  </si>
  <si>
    <t>No.40</t>
  </si>
  <si>
    <t>No. 50</t>
  </si>
  <si>
    <t>No.100</t>
  </si>
  <si>
    <t>No.200</t>
  </si>
  <si>
    <t>Fondo</t>
  </si>
  <si>
    <t>CURVA GRANULOMETRICA</t>
  </si>
  <si>
    <t>Tamiz</t>
  </si>
  <si>
    <t>Pasa (%)</t>
  </si>
  <si>
    <t>Limite Inferior</t>
  </si>
  <si>
    <t>Limite Superior</t>
  </si>
  <si>
    <t>1/2</t>
  </si>
  <si>
    <t>3/8</t>
  </si>
  <si>
    <t>No 4</t>
  </si>
  <si>
    <t>No. 10</t>
  </si>
  <si>
    <t>No. 40</t>
  </si>
  <si>
    <t>No 100</t>
  </si>
  <si>
    <t>No. 200</t>
  </si>
  <si>
    <t>REVISIONES Y APROBACIONES</t>
  </si>
  <si>
    <t>REVISO</t>
  </si>
  <si>
    <t>APROBÓ</t>
  </si>
  <si>
    <t>NOMBRE</t>
  </si>
  <si>
    <t>Lizeth Tatiana Carreño Lizcano</t>
  </si>
  <si>
    <t>CARGO</t>
  </si>
  <si>
    <t>Coordinador 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</si>
</sst>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0.00000"/>
    <numFmt numFmtId="167" formatCode="0.000"/>
    <numFmt numFmtId="168" formatCode="0.0000"/>
  </numFmts>
  <fonts count="1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6"/>
      <name val="Times New Roman"/>
      <family val="1"/>
    </font>
    <font>
      <b/>
      <sz val="9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9"/>
      <color rgb="FFFF0000"/>
      <name val="Times New Roman"/>
      <family val="1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9" fontId="4" fillId="0" borderId="0" applyFont="0" applyFill="0" applyBorder="0" applyAlignment="0" applyProtection="0"/>
  </cellStyleXfs>
  <cellXfs count="1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14" fontId="7" fillId="3" borderId="12" xfId="0" applyNumberFormat="1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5" borderId="0" xfId="1" applyFill="1" applyAlignment="1">
      <alignment vertical="center"/>
    </xf>
    <xf numFmtId="0" fontId="8" fillId="5" borderId="0" xfId="1" applyFont="1" applyFill="1" applyAlignment="1">
      <alignment vertical="center"/>
    </xf>
    <xf numFmtId="0" fontId="4" fillId="0" borderId="0" xfId="1" applyAlignment="1">
      <alignment vertical="center"/>
    </xf>
    <xf numFmtId="0" fontId="2" fillId="2" borderId="12" xfId="1" applyFont="1" applyFill="1" applyBorder="1" applyAlignment="1">
      <alignment horizontal="center" vertical="center" wrapText="1"/>
    </xf>
    <xf numFmtId="0" fontId="2" fillId="2" borderId="13" xfId="1" applyFont="1" applyFill="1" applyBorder="1" applyAlignment="1">
      <alignment horizontal="center" vertical="center" wrapText="1"/>
    </xf>
    <xf numFmtId="0" fontId="9" fillId="4" borderId="6" xfId="1" applyFont="1" applyFill="1" applyBorder="1" applyAlignment="1">
      <alignment horizontal="center" vertical="center" wrapText="1"/>
    </xf>
    <xf numFmtId="0" fontId="4" fillId="4" borderId="0" xfId="1" applyFill="1" applyAlignment="1">
      <alignment vertical="center"/>
    </xf>
    <xf numFmtId="0" fontId="2" fillId="6" borderId="12" xfId="1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center" vertical="center" wrapText="1"/>
    </xf>
    <xf numFmtId="0" fontId="10" fillId="5" borderId="0" xfId="1" applyFont="1" applyFill="1" applyAlignment="1">
      <alignment horizontal="left" vertical="center"/>
    </xf>
    <xf numFmtId="2" fontId="10" fillId="3" borderId="10" xfId="1" applyNumberFormat="1" applyFont="1" applyFill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11" fillId="0" borderId="12" xfId="0" applyFont="1" applyBorder="1" applyAlignment="1">
      <alignment horizontal="center" vertical="center"/>
    </xf>
    <xf numFmtId="164" fontId="4" fillId="3" borderId="12" xfId="1" applyNumberFormat="1" applyFill="1" applyBorder="1" applyAlignment="1" applyProtection="1">
      <alignment horizontal="center" vertical="center"/>
      <protection locked="0"/>
    </xf>
    <xf numFmtId="2" fontId="4" fillId="0" borderId="12" xfId="1" applyNumberFormat="1" applyBorder="1" applyAlignment="1">
      <alignment horizontal="center" vertical="center"/>
    </xf>
    <xf numFmtId="2" fontId="4" fillId="5" borderId="12" xfId="1" applyNumberFormat="1" applyFill="1" applyBorder="1" applyAlignment="1">
      <alignment horizontal="center" vertical="center"/>
    </xf>
    <xf numFmtId="2" fontId="4" fillId="7" borderId="12" xfId="1" applyNumberFormat="1" applyFill="1" applyBorder="1" applyAlignment="1">
      <alignment horizontal="center" vertical="center"/>
    </xf>
    <xf numFmtId="2" fontId="10" fillId="3" borderId="11" xfId="1" applyNumberFormat="1" applyFont="1" applyFill="1" applyBorder="1" applyAlignment="1" applyProtection="1">
      <alignment horizontal="center" vertical="center"/>
      <protection locked="0"/>
    </xf>
    <xf numFmtId="0" fontId="10" fillId="5" borderId="0" xfId="1" applyFont="1" applyFill="1" applyAlignment="1">
      <alignment horizontal="left" vertical="center" wrapText="1"/>
    </xf>
    <xf numFmtId="0" fontId="4" fillId="3" borderId="0" xfId="1" applyFill="1" applyAlignment="1">
      <alignment vertical="center"/>
    </xf>
    <xf numFmtId="165" fontId="10" fillId="5" borderId="11" xfId="1" applyNumberFormat="1" applyFont="1" applyFill="1" applyBorder="1" applyAlignment="1">
      <alignment horizontal="center" vertical="center"/>
    </xf>
    <xf numFmtId="0" fontId="10" fillId="5" borderId="0" xfId="1" applyFont="1" applyFill="1" applyAlignment="1">
      <alignment horizontal="left" vertical="center"/>
    </xf>
    <xf numFmtId="166" fontId="10" fillId="5" borderId="10" xfId="1" applyNumberFormat="1" applyFont="1" applyFill="1" applyBorder="1" applyAlignment="1" applyProtection="1">
      <alignment horizontal="center" vertical="center"/>
      <protection locked="0"/>
    </xf>
    <xf numFmtId="2" fontId="10" fillId="5" borderId="10" xfId="1" applyNumberFormat="1" applyFont="1" applyFill="1" applyBorder="1" applyAlignment="1" applyProtection="1">
      <alignment horizontal="center" vertical="center"/>
      <protection locked="0"/>
    </xf>
    <xf numFmtId="49" fontId="10" fillId="3" borderId="10" xfId="1" applyNumberFormat="1" applyFont="1" applyFill="1" applyBorder="1" applyAlignment="1" applyProtection="1">
      <alignment horizontal="center" vertical="center"/>
      <protection locked="0"/>
    </xf>
    <xf numFmtId="0" fontId="9" fillId="4" borderId="15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2" fontId="11" fillId="0" borderId="12" xfId="0" applyNumberFormat="1" applyFont="1" applyBorder="1" applyAlignment="1">
      <alignment horizontal="center" vertical="center"/>
    </xf>
    <xf numFmtId="0" fontId="10" fillId="0" borderId="4" xfId="1" applyFont="1" applyBorder="1" applyAlignment="1">
      <alignment horizontal="left" vertical="center"/>
    </xf>
    <xf numFmtId="0" fontId="10" fillId="0" borderId="11" xfId="1" applyFont="1" applyBorder="1" applyAlignment="1">
      <alignment horizontal="left" vertical="center"/>
    </xf>
    <xf numFmtId="0" fontId="10" fillId="0" borderId="5" xfId="1" applyFont="1" applyBorder="1" applyAlignment="1">
      <alignment horizontal="left" vertical="center"/>
    </xf>
    <xf numFmtId="0" fontId="10" fillId="0" borderId="4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167" fontId="11" fillId="0" borderId="12" xfId="0" applyNumberFormat="1" applyFont="1" applyBorder="1" applyAlignment="1">
      <alignment horizontal="center" vertical="center"/>
    </xf>
    <xf numFmtId="0" fontId="4" fillId="3" borderId="12" xfId="1" applyFill="1" applyBorder="1" applyAlignment="1" applyProtection="1">
      <alignment horizontal="center" vertical="center"/>
      <protection locked="0"/>
    </xf>
    <xf numFmtId="0" fontId="12" fillId="3" borderId="12" xfId="1" applyFont="1" applyFill="1" applyBorder="1" applyAlignment="1" applyProtection="1">
      <alignment horizontal="center" vertical="center"/>
      <protection locked="0"/>
    </xf>
    <xf numFmtId="168" fontId="4" fillId="7" borderId="12" xfId="1" applyNumberFormat="1" applyFill="1" applyBorder="1" applyAlignment="1">
      <alignment horizontal="center" vertical="center"/>
    </xf>
    <xf numFmtId="0" fontId="9" fillId="4" borderId="0" xfId="1" applyFont="1" applyFill="1" applyAlignment="1">
      <alignment horizontal="center" vertical="center" wrapText="1"/>
    </xf>
    <xf numFmtId="0" fontId="12" fillId="0" borderId="0" xfId="1" applyFont="1" applyAlignment="1">
      <alignment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4" fillId="5" borderId="6" xfId="1" applyFill="1" applyBorder="1" applyAlignment="1">
      <alignment vertical="center"/>
    </xf>
    <xf numFmtId="0" fontId="4" fillId="5" borderId="7" xfId="1" applyFill="1" applyBorder="1" applyAlignment="1">
      <alignment vertical="center"/>
    </xf>
    <xf numFmtId="0" fontId="13" fillId="0" borderId="12" xfId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2" fontId="13" fillId="0" borderId="12" xfId="2" applyNumberFormat="1" applyFont="1" applyFill="1" applyBorder="1" applyAlignment="1">
      <alignment horizontal="center" vertical="center"/>
    </xf>
    <xf numFmtId="2" fontId="14" fillId="0" borderId="12" xfId="1" applyNumberFormat="1" applyFont="1" applyBorder="1" applyAlignment="1" applyProtection="1">
      <alignment horizontal="center" vertical="center"/>
      <protection locked="0"/>
    </xf>
    <xf numFmtId="12" fontId="4" fillId="0" borderId="0" xfId="1" applyNumberFormat="1" applyAlignment="1">
      <alignment vertical="center"/>
    </xf>
    <xf numFmtId="49" fontId="4" fillId="0" borderId="0" xfId="1" applyNumberFormat="1" applyAlignment="1">
      <alignment horizontal="right" vertical="center"/>
    </xf>
    <xf numFmtId="0" fontId="4" fillId="0" borderId="0" xfId="1" applyAlignment="1">
      <alignment horizontal="right" vertical="center"/>
    </xf>
    <xf numFmtId="0" fontId="12" fillId="0" borderId="0" xfId="1" applyFont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2" fontId="15" fillId="0" borderId="0" xfId="1" applyNumberFormat="1" applyFont="1" applyAlignment="1" applyProtection="1">
      <alignment horizontal="center" vertical="center"/>
      <protection locked="0"/>
    </xf>
    <xf numFmtId="0" fontId="4" fillId="5" borderId="8" xfId="1" applyFill="1" applyBorder="1" applyAlignment="1">
      <alignment vertical="center"/>
    </xf>
    <xf numFmtId="0" fontId="4" fillId="5" borderId="10" xfId="1" applyFill="1" applyBorder="1" applyAlignment="1">
      <alignment vertical="center"/>
    </xf>
    <xf numFmtId="0" fontId="4" fillId="5" borderId="9" xfId="1" applyFill="1" applyBorder="1" applyAlignment="1">
      <alignment vertical="center"/>
    </xf>
    <xf numFmtId="9" fontId="12" fillId="0" borderId="0" xfId="2" applyFont="1" applyFill="1" applyBorder="1" applyAlignment="1">
      <alignment horizontal="center" vertical="center"/>
    </xf>
    <xf numFmtId="0" fontId="15" fillId="5" borderId="0" xfId="1" applyFont="1" applyFill="1" applyAlignment="1">
      <alignment vertical="center"/>
    </xf>
    <xf numFmtId="0" fontId="7" fillId="7" borderId="12" xfId="1" applyFont="1" applyFill="1" applyBorder="1" applyAlignment="1">
      <alignment horizontal="center" vertical="center"/>
    </xf>
    <xf numFmtId="0" fontId="7" fillId="4" borderId="3" xfId="1" applyFont="1" applyFill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0" fontId="7" fillId="4" borderId="12" xfId="1" applyFont="1" applyFill="1" applyBorder="1" applyAlignment="1">
      <alignment horizontal="center" vertical="center"/>
    </xf>
    <xf numFmtId="0" fontId="7" fillId="7" borderId="12" xfId="1" applyFont="1" applyFill="1" applyBorder="1" applyAlignment="1">
      <alignment horizontal="left" vertical="center"/>
    </xf>
    <xf numFmtId="0" fontId="7" fillId="7" borderId="12" xfId="1" applyFont="1" applyFill="1" applyBorder="1" applyAlignment="1">
      <alignment horizontal="left" vertical="center"/>
    </xf>
  </cellXfs>
  <cellStyles count="3">
    <cellStyle name="Normal" xfId="0" builtinId="0"/>
    <cellStyle name="Normal 2 2" xfId="1" xr:uid="{DA8648C6-406D-4EB4-BA00-17CEAE33683D}"/>
    <cellStyle name="Percent 2" xfId="2" xr:uid="{FED9F1B3-D72E-4D54-94D1-FA5FCF5C0E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65025157128842"/>
          <c:y val="1.665203560559432E-2"/>
          <c:w val="0.83664278169081219"/>
          <c:h val="0.65469111076875675"/>
        </c:manualLayout>
      </c:layout>
      <c:scatterChart>
        <c:scatterStyle val="lineMarker"/>
        <c:varyColors val="0"/>
        <c:ser>
          <c:idx val="0"/>
          <c:order val="0"/>
          <c:tx>
            <c:strRef>
              <c:f>'LAB-FR-01-2025 (8)'!$P$35</c:f>
              <c:strCache>
                <c:ptCount val="1"/>
                <c:pt idx="0">
                  <c:v>Pasa (%)</c:v>
                </c:pt>
              </c:strCache>
            </c:strRef>
          </c:tx>
          <c:spPr>
            <a:ln w="38100" cap="rnd" cmpd="sng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20000"/>
                  <a:lumOff val="8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'LAB-FR-01-2025 (8)'!$O$36:$O$45</c:f>
              <c:numCache>
                <c:formatCode>General</c:formatCode>
                <c:ptCount val="10"/>
                <c:pt idx="0">
                  <c:v>50</c:v>
                </c:pt>
                <c:pt idx="1">
                  <c:v>37.5</c:v>
                </c:pt>
                <c:pt idx="2">
                  <c:v>25</c:v>
                </c:pt>
                <c:pt idx="3">
                  <c:v>12.7</c:v>
                </c:pt>
                <c:pt idx="4">
                  <c:v>9.5</c:v>
                </c:pt>
                <c:pt idx="5">
                  <c:v>4.75</c:v>
                </c:pt>
                <c:pt idx="6">
                  <c:v>2</c:v>
                </c:pt>
                <c:pt idx="7">
                  <c:v>0.42499999999999999</c:v>
                </c:pt>
                <c:pt idx="8">
                  <c:v>0.15</c:v>
                </c:pt>
                <c:pt idx="9">
                  <c:v>7.4999999999999997E-2</c:v>
                </c:pt>
              </c:numCache>
            </c:numRef>
          </c:xVal>
          <c:yVal>
            <c:numRef>
              <c:f>'LAB-FR-01-2025 (8)'!$P$36:$P$45</c:f>
              <c:numCache>
                <c:formatCode>0.00</c:formatCode>
                <c:ptCount val="10"/>
                <c:pt idx="0">
                  <c:v>100</c:v>
                </c:pt>
                <c:pt idx="1">
                  <c:v>86.48089412475457</c:v>
                </c:pt>
                <c:pt idx="2">
                  <c:v>69.94411720283945</c:v>
                </c:pt>
                <c:pt idx="3">
                  <c:v>49.814227458087899</c:v>
                </c:pt>
                <c:pt idx="4">
                  <c:v>44.141368373357494</c:v>
                </c:pt>
                <c:pt idx="5">
                  <c:v>32.165835976438601</c:v>
                </c:pt>
                <c:pt idx="6">
                  <c:v>23.786437094094552</c:v>
                </c:pt>
                <c:pt idx="7">
                  <c:v>8.2600815586769443</c:v>
                </c:pt>
                <c:pt idx="8">
                  <c:v>4.0054372451291442</c:v>
                </c:pt>
                <c:pt idx="9">
                  <c:v>3.3892161304938924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B-427F-863C-45D781028DF6}"/>
            </c:ext>
          </c:extLst>
        </c:ser>
        <c:ser>
          <c:idx val="1"/>
          <c:order val="1"/>
          <c:tx>
            <c:strRef>
              <c:f>'LAB-FR-01-2025 (8)'!$Q$35</c:f>
              <c:strCache>
                <c:ptCount val="1"/>
                <c:pt idx="0">
                  <c:v>Limite Inferior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  <a:alpha val="9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'LAB-FR-01-2025 (8)'!$O$36:$O$45</c:f>
              <c:numCache>
                <c:formatCode>General</c:formatCode>
                <c:ptCount val="10"/>
                <c:pt idx="0">
                  <c:v>50</c:v>
                </c:pt>
                <c:pt idx="1">
                  <c:v>37.5</c:v>
                </c:pt>
                <c:pt idx="2">
                  <c:v>25</c:v>
                </c:pt>
                <c:pt idx="3">
                  <c:v>12.7</c:v>
                </c:pt>
                <c:pt idx="4">
                  <c:v>9.5</c:v>
                </c:pt>
                <c:pt idx="5">
                  <c:v>4.75</c:v>
                </c:pt>
                <c:pt idx="6">
                  <c:v>2</c:v>
                </c:pt>
                <c:pt idx="7">
                  <c:v>0.42499999999999999</c:v>
                </c:pt>
                <c:pt idx="8">
                  <c:v>0.15</c:v>
                </c:pt>
                <c:pt idx="9">
                  <c:v>7.4999999999999997E-2</c:v>
                </c:pt>
              </c:numCache>
            </c:numRef>
          </c:xVal>
          <c:yVal>
            <c:numRef>
              <c:f>'LAB-FR-01-2025 (8)'!$Q$36:$Q$45</c:f>
              <c:numCache>
                <c:formatCode>0.00</c:formatCode>
                <c:ptCount val="10"/>
                <c:pt idx="0">
                  <c:v>100</c:v>
                </c:pt>
                <c:pt idx="1">
                  <c:v>70</c:v>
                </c:pt>
                <c:pt idx="2">
                  <c:v>60</c:v>
                </c:pt>
                <c:pt idx="3">
                  <c:v>45</c:v>
                </c:pt>
                <c:pt idx="4">
                  <c:v>40</c:v>
                </c:pt>
                <c:pt idx="5">
                  <c:v>25</c:v>
                </c:pt>
                <c:pt idx="6">
                  <c:v>15</c:v>
                </c:pt>
                <c:pt idx="7">
                  <c:v>6</c:v>
                </c:pt>
                <c:pt idx="8">
                  <c:v>3</c:v>
                </c:pt>
                <c:pt idx="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EB-427F-863C-45D781028DF6}"/>
            </c:ext>
          </c:extLst>
        </c:ser>
        <c:ser>
          <c:idx val="2"/>
          <c:order val="2"/>
          <c:tx>
            <c:strRef>
              <c:f>'LAB-FR-01-2025 (8)'!$R$35</c:f>
              <c:strCache>
                <c:ptCount val="1"/>
                <c:pt idx="0">
                  <c:v>Limite Superior</c:v>
                </c:pt>
              </c:strCache>
            </c:strRef>
          </c:tx>
          <c:spPr>
            <a:ln w="254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'LAB-FR-01-2025 (8)'!$O$36:$O$45</c:f>
              <c:numCache>
                <c:formatCode>General</c:formatCode>
                <c:ptCount val="10"/>
                <c:pt idx="0">
                  <c:v>50</c:v>
                </c:pt>
                <c:pt idx="1">
                  <c:v>37.5</c:v>
                </c:pt>
                <c:pt idx="2">
                  <c:v>25</c:v>
                </c:pt>
                <c:pt idx="3">
                  <c:v>12.7</c:v>
                </c:pt>
                <c:pt idx="4">
                  <c:v>9.5</c:v>
                </c:pt>
                <c:pt idx="5">
                  <c:v>4.75</c:v>
                </c:pt>
                <c:pt idx="6">
                  <c:v>2</c:v>
                </c:pt>
                <c:pt idx="7">
                  <c:v>0.42499999999999999</c:v>
                </c:pt>
                <c:pt idx="8">
                  <c:v>0.15</c:v>
                </c:pt>
                <c:pt idx="9">
                  <c:v>7.4999999999999997E-2</c:v>
                </c:pt>
              </c:numCache>
            </c:numRef>
          </c:xVal>
          <c:yVal>
            <c:numRef>
              <c:f>'LAB-FR-01-2025 (8)'!$R$36:$R$45</c:f>
              <c:numCache>
                <c:formatCode>0.00</c:formatCode>
                <c:ptCount val="10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75</c:v>
                </c:pt>
                <c:pt idx="4">
                  <c:v>70</c:v>
                </c:pt>
                <c:pt idx="5">
                  <c:v>55</c:v>
                </c:pt>
                <c:pt idx="6">
                  <c:v>40</c:v>
                </c:pt>
                <c:pt idx="7">
                  <c:v>25</c:v>
                </c:pt>
                <c:pt idx="8">
                  <c:v>18</c:v>
                </c:pt>
                <c:pt idx="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EB-427F-863C-45D781028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034655"/>
        <c:axId val="1"/>
      </c:scatterChart>
      <c:valAx>
        <c:axId val="50803465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Diámetro de las partículas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"/>
        <c:crossesAt val="1.0000000000000002E-3"/>
        <c:crossBetween val="midCat"/>
        <c:majorUnit val="10"/>
        <c:minorUnit val="10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Pasa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8034655"/>
        <c:crossesAt val="1.0000000000000004E-5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8266633480729273"/>
          <c:y val="0.81099839090836212"/>
          <c:w val="0.27406482154108164"/>
          <c:h val="4.6307354004697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" r="0.75" t="1" header="0.5" footer="0.5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199572</xdr:colOff>
      <xdr:row>32</xdr:row>
      <xdr:rowOff>48587</xdr:rowOff>
    </xdr:from>
    <xdr:to>
      <xdr:col>11</xdr:col>
      <xdr:colOff>455131</xdr:colOff>
      <xdr:row>50</xdr:row>
      <xdr:rowOff>140950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955ABC6E-AA16-4ABB-BC9A-BDEA65BF8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468085</xdr:colOff>
      <xdr:row>0</xdr:row>
      <xdr:rowOff>87086</xdr:rowOff>
    </xdr:from>
    <xdr:to>
      <xdr:col>1</xdr:col>
      <xdr:colOff>381000</xdr:colOff>
      <xdr:row>2</xdr:row>
      <xdr:rowOff>337586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57BE64-C21D-4F12-84D3-FD10B9519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085" y="87086"/>
          <a:ext cx="893990" cy="898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cuments\GEOLAB\Formatos\LAB-FR-01-2025%20Granulometria%20Mezcla%20(85%25-15%25).xlsx" TargetMode="External"/><Relationship Id="rId1" Type="http://schemas.openxmlformats.org/officeDocument/2006/relationships/externalLinkPath" Target="LAB-FR-01-2025%20Granulometria%20Mezcla%20(85%25-15%2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mis%20document\Vertraulich\GEOPRUEBAS\EXCELL\FORMATOS\L'Concret%20y%20Pavimentos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B-FR-01-2025"/>
      <sheetName val="LAB-FR-01-2025 (2)"/>
      <sheetName val="LAB-FR-01-2025 (3)"/>
      <sheetName val="LAB-FR-01-2025 (4)"/>
      <sheetName val="LAB-FR-01-2025 (5)"/>
      <sheetName val="LAB-FR-01-2025 (6)"/>
      <sheetName val="LAB-FR-01-2025 (7)"/>
      <sheetName val="LAB-FR-01-2025 (8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5">
          <cell r="P35" t="str">
            <v>Pasa (%)</v>
          </cell>
          <cell r="Q35" t="str">
            <v>Limite Inferior</v>
          </cell>
          <cell r="R35" t="str">
            <v>Limite Superior</v>
          </cell>
        </row>
        <row r="36">
          <cell r="O36">
            <v>50</v>
          </cell>
          <cell r="P36">
            <v>100</v>
          </cell>
          <cell r="Q36">
            <v>100</v>
          </cell>
          <cell r="R36">
            <v>100</v>
          </cell>
        </row>
        <row r="37">
          <cell r="O37">
            <v>37.5</v>
          </cell>
          <cell r="P37">
            <v>86.48089412475457</v>
          </cell>
          <cell r="Q37">
            <v>70</v>
          </cell>
          <cell r="R37">
            <v>95</v>
          </cell>
        </row>
        <row r="38">
          <cell r="O38">
            <v>25</v>
          </cell>
          <cell r="P38">
            <v>69.94411720283945</v>
          </cell>
          <cell r="Q38">
            <v>60</v>
          </cell>
          <cell r="R38">
            <v>90</v>
          </cell>
        </row>
        <row r="39">
          <cell r="O39">
            <v>12.7</v>
          </cell>
          <cell r="P39">
            <v>49.814227458087899</v>
          </cell>
          <cell r="Q39">
            <v>45</v>
          </cell>
          <cell r="R39">
            <v>75</v>
          </cell>
        </row>
        <row r="40">
          <cell r="O40">
            <v>9.5</v>
          </cell>
          <cell r="P40">
            <v>44.141368373357494</v>
          </cell>
          <cell r="Q40">
            <v>40</v>
          </cell>
          <cell r="R40">
            <v>70</v>
          </cell>
        </row>
        <row r="41">
          <cell r="O41">
            <v>4.75</v>
          </cell>
          <cell r="P41">
            <v>32.165835976438601</v>
          </cell>
          <cell r="Q41">
            <v>25</v>
          </cell>
          <cell r="R41">
            <v>55</v>
          </cell>
        </row>
        <row r="42">
          <cell r="O42">
            <v>2</v>
          </cell>
          <cell r="P42">
            <v>23.786437094094552</v>
          </cell>
          <cell r="Q42">
            <v>15</v>
          </cell>
          <cell r="R42">
            <v>40</v>
          </cell>
        </row>
        <row r="43">
          <cell r="O43">
            <v>0.42499999999999999</v>
          </cell>
          <cell r="P43">
            <v>8.2600815586769443</v>
          </cell>
          <cell r="Q43">
            <v>6</v>
          </cell>
          <cell r="R43">
            <v>25</v>
          </cell>
        </row>
        <row r="44">
          <cell r="O44">
            <v>0.15</v>
          </cell>
          <cell r="P44">
            <v>4.0054372451291442</v>
          </cell>
          <cell r="Q44">
            <v>3</v>
          </cell>
          <cell r="R44">
            <v>18</v>
          </cell>
        </row>
        <row r="45">
          <cell r="O45">
            <v>7.4999999999999997E-2</v>
          </cell>
          <cell r="P45">
            <v>3.3892161304938924</v>
          </cell>
          <cell r="Q45">
            <v>2</v>
          </cell>
          <cell r="R45">
            <v>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CONCRETO"/>
      <sheetName val="REMISIÓN CONCRETOS"/>
      <sheetName val="CONCRET. DESDE 24H"/>
      <sheetName val="CONCRET. 7-14-28 D"/>
      <sheetName val="NÚCLEOS"/>
      <sheetName val="BLOQUES-LADRILLOS"/>
      <sheetName val="MEZCLAS"/>
      <sheetName val="BELKELMAN"/>
      <sheetName val="Extracción S.S.S."/>
      <sheetName val="EXTRACCIÓN S.S.S. "/>
      <sheetName val="EXTRACCIÓN (PARAFINAD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900B-490E-4B48-925B-57B7D7552832}">
  <sheetPr>
    <pageSetUpPr fitToPage="1"/>
  </sheetPr>
  <dimension ref="A1:V63"/>
  <sheetViews>
    <sheetView showGridLines="0" tabSelected="1" view="pageBreakPreview" topLeftCell="A28" zoomScale="85" zoomScaleNormal="70" zoomScaleSheetLayoutView="85" workbookViewId="0">
      <selection activeCell="E30" sqref="E30"/>
    </sheetView>
  </sheetViews>
  <sheetFormatPr baseColWidth="10" defaultColWidth="9.28515625" defaultRowHeight="18" customHeight="1" x14ac:dyDescent="0.25"/>
  <cols>
    <col min="1" max="1" width="14.7109375" style="44" customWidth="1"/>
    <col min="2" max="2" width="17" style="44" customWidth="1"/>
    <col min="3" max="6" width="14.7109375" style="44" customWidth="1"/>
    <col min="7" max="7" width="2.42578125" style="44" customWidth="1"/>
    <col min="8" max="12" width="14.7109375" style="44" customWidth="1"/>
    <col min="13" max="16" width="9.28515625" style="44"/>
    <col min="17" max="18" width="13.140625" style="44" customWidth="1"/>
    <col min="19" max="255" width="9.28515625" style="44"/>
    <col min="256" max="256" width="11.42578125" style="44" customWidth="1"/>
    <col min="257" max="257" width="11.28515625" style="44" customWidth="1"/>
    <col min="258" max="258" width="15.7109375" style="44" customWidth="1"/>
    <col min="259" max="259" width="16.7109375" style="44" customWidth="1"/>
    <col min="260" max="260" width="19.28515625" style="44" customWidth="1"/>
    <col min="261" max="261" width="33.7109375" style="44" customWidth="1"/>
    <col min="262" max="262" width="16.7109375" style="44" customWidth="1"/>
    <col min="263" max="263" width="15.5703125" style="44" customWidth="1"/>
    <col min="264" max="264" width="16.7109375" style="44" customWidth="1"/>
    <col min="265" max="511" width="9.28515625" style="44"/>
    <col min="512" max="512" width="11.42578125" style="44" customWidth="1"/>
    <col min="513" max="513" width="11.28515625" style="44" customWidth="1"/>
    <col min="514" max="514" width="15.7109375" style="44" customWidth="1"/>
    <col min="515" max="515" width="16.7109375" style="44" customWidth="1"/>
    <col min="516" max="516" width="19.28515625" style="44" customWidth="1"/>
    <col min="517" max="517" width="33.7109375" style="44" customWidth="1"/>
    <col min="518" max="518" width="16.7109375" style="44" customWidth="1"/>
    <col min="519" max="519" width="15.5703125" style="44" customWidth="1"/>
    <col min="520" max="520" width="16.7109375" style="44" customWidth="1"/>
    <col min="521" max="767" width="9.28515625" style="44"/>
    <col min="768" max="768" width="11.42578125" style="44" customWidth="1"/>
    <col min="769" max="769" width="11.28515625" style="44" customWidth="1"/>
    <col min="770" max="770" width="15.7109375" style="44" customWidth="1"/>
    <col min="771" max="771" width="16.7109375" style="44" customWidth="1"/>
    <col min="772" max="772" width="19.28515625" style="44" customWidth="1"/>
    <col min="773" max="773" width="33.7109375" style="44" customWidth="1"/>
    <col min="774" max="774" width="16.7109375" style="44" customWidth="1"/>
    <col min="775" max="775" width="15.5703125" style="44" customWidth="1"/>
    <col min="776" max="776" width="16.7109375" style="44" customWidth="1"/>
    <col min="777" max="1023" width="9.28515625" style="44"/>
    <col min="1024" max="1024" width="11.42578125" style="44" customWidth="1"/>
    <col min="1025" max="1025" width="11.28515625" style="44" customWidth="1"/>
    <col min="1026" max="1026" width="15.7109375" style="44" customWidth="1"/>
    <col min="1027" max="1027" width="16.7109375" style="44" customWidth="1"/>
    <col min="1028" max="1028" width="19.28515625" style="44" customWidth="1"/>
    <col min="1029" max="1029" width="33.7109375" style="44" customWidth="1"/>
    <col min="1030" max="1030" width="16.7109375" style="44" customWidth="1"/>
    <col min="1031" max="1031" width="15.5703125" style="44" customWidth="1"/>
    <col min="1032" max="1032" width="16.7109375" style="44" customWidth="1"/>
    <col min="1033" max="1279" width="9.28515625" style="44"/>
    <col min="1280" max="1280" width="11.42578125" style="44" customWidth="1"/>
    <col min="1281" max="1281" width="11.28515625" style="44" customWidth="1"/>
    <col min="1282" max="1282" width="15.7109375" style="44" customWidth="1"/>
    <col min="1283" max="1283" width="16.7109375" style="44" customWidth="1"/>
    <col min="1284" max="1284" width="19.28515625" style="44" customWidth="1"/>
    <col min="1285" max="1285" width="33.7109375" style="44" customWidth="1"/>
    <col min="1286" max="1286" width="16.7109375" style="44" customWidth="1"/>
    <col min="1287" max="1287" width="15.5703125" style="44" customWidth="1"/>
    <col min="1288" max="1288" width="16.7109375" style="44" customWidth="1"/>
    <col min="1289" max="1535" width="9.28515625" style="44"/>
    <col min="1536" max="1536" width="11.42578125" style="44" customWidth="1"/>
    <col min="1537" max="1537" width="11.28515625" style="44" customWidth="1"/>
    <col min="1538" max="1538" width="15.7109375" style="44" customWidth="1"/>
    <col min="1539" max="1539" width="16.7109375" style="44" customWidth="1"/>
    <col min="1540" max="1540" width="19.28515625" style="44" customWidth="1"/>
    <col min="1541" max="1541" width="33.7109375" style="44" customWidth="1"/>
    <col min="1542" max="1542" width="16.7109375" style="44" customWidth="1"/>
    <col min="1543" max="1543" width="15.5703125" style="44" customWidth="1"/>
    <col min="1544" max="1544" width="16.7109375" style="44" customWidth="1"/>
    <col min="1545" max="1791" width="9.28515625" style="44"/>
    <col min="1792" max="1792" width="11.42578125" style="44" customWidth="1"/>
    <col min="1793" max="1793" width="11.28515625" style="44" customWidth="1"/>
    <col min="1794" max="1794" width="15.7109375" style="44" customWidth="1"/>
    <col min="1795" max="1795" width="16.7109375" style="44" customWidth="1"/>
    <col min="1796" max="1796" width="19.28515625" style="44" customWidth="1"/>
    <col min="1797" max="1797" width="33.7109375" style="44" customWidth="1"/>
    <col min="1798" max="1798" width="16.7109375" style="44" customWidth="1"/>
    <col min="1799" max="1799" width="15.5703125" style="44" customWidth="1"/>
    <col min="1800" max="1800" width="16.7109375" style="44" customWidth="1"/>
    <col min="1801" max="2047" width="9.28515625" style="44"/>
    <col min="2048" max="2048" width="11.42578125" style="44" customWidth="1"/>
    <col min="2049" max="2049" width="11.28515625" style="44" customWidth="1"/>
    <col min="2050" max="2050" width="15.7109375" style="44" customWidth="1"/>
    <col min="2051" max="2051" width="16.7109375" style="44" customWidth="1"/>
    <col min="2052" max="2052" width="19.28515625" style="44" customWidth="1"/>
    <col min="2053" max="2053" width="33.7109375" style="44" customWidth="1"/>
    <col min="2054" max="2054" width="16.7109375" style="44" customWidth="1"/>
    <col min="2055" max="2055" width="15.5703125" style="44" customWidth="1"/>
    <col min="2056" max="2056" width="16.7109375" style="44" customWidth="1"/>
    <col min="2057" max="2303" width="9.28515625" style="44"/>
    <col min="2304" max="2304" width="11.42578125" style="44" customWidth="1"/>
    <col min="2305" max="2305" width="11.28515625" style="44" customWidth="1"/>
    <col min="2306" max="2306" width="15.7109375" style="44" customWidth="1"/>
    <col min="2307" max="2307" width="16.7109375" style="44" customWidth="1"/>
    <col min="2308" max="2308" width="19.28515625" style="44" customWidth="1"/>
    <col min="2309" max="2309" width="33.7109375" style="44" customWidth="1"/>
    <col min="2310" max="2310" width="16.7109375" style="44" customWidth="1"/>
    <col min="2311" max="2311" width="15.5703125" style="44" customWidth="1"/>
    <col min="2312" max="2312" width="16.7109375" style="44" customWidth="1"/>
    <col min="2313" max="2559" width="9.28515625" style="44"/>
    <col min="2560" max="2560" width="11.42578125" style="44" customWidth="1"/>
    <col min="2561" max="2561" width="11.28515625" style="44" customWidth="1"/>
    <col min="2562" max="2562" width="15.7109375" style="44" customWidth="1"/>
    <col min="2563" max="2563" width="16.7109375" style="44" customWidth="1"/>
    <col min="2564" max="2564" width="19.28515625" style="44" customWidth="1"/>
    <col min="2565" max="2565" width="33.7109375" style="44" customWidth="1"/>
    <col min="2566" max="2566" width="16.7109375" style="44" customWidth="1"/>
    <col min="2567" max="2567" width="15.5703125" style="44" customWidth="1"/>
    <col min="2568" max="2568" width="16.7109375" style="44" customWidth="1"/>
    <col min="2569" max="2815" width="9.28515625" style="44"/>
    <col min="2816" max="2816" width="11.42578125" style="44" customWidth="1"/>
    <col min="2817" max="2817" width="11.28515625" style="44" customWidth="1"/>
    <col min="2818" max="2818" width="15.7109375" style="44" customWidth="1"/>
    <col min="2819" max="2819" width="16.7109375" style="44" customWidth="1"/>
    <col min="2820" max="2820" width="19.28515625" style="44" customWidth="1"/>
    <col min="2821" max="2821" width="33.7109375" style="44" customWidth="1"/>
    <col min="2822" max="2822" width="16.7109375" style="44" customWidth="1"/>
    <col min="2823" max="2823" width="15.5703125" style="44" customWidth="1"/>
    <col min="2824" max="2824" width="16.7109375" style="44" customWidth="1"/>
    <col min="2825" max="3071" width="9.28515625" style="44"/>
    <col min="3072" max="3072" width="11.42578125" style="44" customWidth="1"/>
    <col min="3073" max="3073" width="11.28515625" style="44" customWidth="1"/>
    <col min="3074" max="3074" width="15.7109375" style="44" customWidth="1"/>
    <col min="3075" max="3075" width="16.7109375" style="44" customWidth="1"/>
    <col min="3076" max="3076" width="19.28515625" style="44" customWidth="1"/>
    <col min="3077" max="3077" width="33.7109375" style="44" customWidth="1"/>
    <col min="3078" max="3078" width="16.7109375" style="44" customWidth="1"/>
    <col min="3079" max="3079" width="15.5703125" style="44" customWidth="1"/>
    <col min="3080" max="3080" width="16.7109375" style="44" customWidth="1"/>
    <col min="3081" max="3327" width="9.28515625" style="44"/>
    <col min="3328" max="3328" width="11.42578125" style="44" customWidth="1"/>
    <col min="3329" max="3329" width="11.28515625" style="44" customWidth="1"/>
    <col min="3330" max="3330" width="15.7109375" style="44" customWidth="1"/>
    <col min="3331" max="3331" width="16.7109375" style="44" customWidth="1"/>
    <col min="3332" max="3332" width="19.28515625" style="44" customWidth="1"/>
    <col min="3333" max="3333" width="33.7109375" style="44" customWidth="1"/>
    <col min="3334" max="3334" width="16.7109375" style="44" customWidth="1"/>
    <col min="3335" max="3335" width="15.5703125" style="44" customWidth="1"/>
    <col min="3336" max="3336" width="16.7109375" style="44" customWidth="1"/>
    <col min="3337" max="3583" width="9.28515625" style="44"/>
    <col min="3584" max="3584" width="11.42578125" style="44" customWidth="1"/>
    <col min="3585" max="3585" width="11.28515625" style="44" customWidth="1"/>
    <col min="3586" max="3586" width="15.7109375" style="44" customWidth="1"/>
    <col min="3587" max="3587" width="16.7109375" style="44" customWidth="1"/>
    <col min="3588" max="3588" width="19.28515625" style="44" customWidth="1"/>
    <col min="3589" max="3589" width="33.7109375" style="44" customWidth="1"/>
    <col min="3590" max="3590" width="16.7109375" style="44" customWidth="1"/>
    <col min="3591" max="3591" width="15.5703125" style="44" customWidth="1"/>
    <col min="3592" max="3592" width="16.7109375" style="44" customWidth="1"/>
    <col min="3593" max="3839" width="9.28515625" style="44"/>
    <col min="3840" max="3840" width="11.42578125" style="44" customWidth="1"/>
    <col min="3841" max="3841" width="11.28515625" style="44" customWidth="1"/>
    <col min="3842" max="3842" width="15.7109375" style="44" customWidth="1"/>
    <col min="3843" max="3843" width="16.7109375" style="44" customWidth="1"/>
    <col min="3844" max="3844" width="19.28515625" style="44" customWidth="1"/>
    <col min="3845" max="3845" width="33.7109375" style="44" customWidth="1"/>
    <col min="3846" max="3846" width="16.7109375" style="44" customWidth="1"/>
    <col min="3847" max="3847" width="15.5703125" style="44" customWidth="1"/>
    <col min="3848" max="3848" width="16.7109375" style="44" customWidth="1"/>
    <col min="3849" max="4095" width="9.28515625" style="44"/>
    <col min="4096" max="4096" width="11.42578125" style="44" customWidth="1"/>
    <col min="4097" max="4097" width="11.28515625" style="44" customWidth="1"/>
    <col min="4098" max="4098" width="15.7109375" style="44" customWidth="1"/>
    <col min="4099" max="4099" width="16.7109375" style="44" customWidth="1"/>
    <col min="4100" max="4100" width="19.28515625" style="44" customWidth="1"/>
    <col min="4101" max="4101" width="33.7109375" style="44" customWidth="1"/>
    <col min="4102" max="4102" width="16.7109375" style="44" customWidth="1"/>
    <col min="4103" max="4103" width="15.5703125" style="44" customWidth="1"/>
    <col min="4104" max="4104" width="16.7109375" style="44" customWidth="1"/>
    <col min="4105" max="4351" width="9.28515625" style="44"/>
    <col min="4352" max="4352" width="11.42578125" style="44" customWidth="1"/>
    <col min="4353" max="4353" width="11.28515625" style="44" customWidth="1"/>
    <col min="4354" max="4354" width="15.7109375" style="44" customWidth="1"/>
    <col min="4355" max="4355" width="16.7109375" style="44" customWidth="1"/>
    <col min="4356" max="4356" width="19.28515625" style="44" customWidth="1"/>
    <col min="4357" max="4357" width="33.7109375" style="44" customWidth="1"/>
    <col min="4358" max="4358" width="16.7109375" style="44" customWidth="1"/>
    <col min="4359" max="4359" width="15.5703125" style="44" customWidth="1"/>
    <col min="4360" max="4360" width="16.7109375" style="44" customWidth="1"/>
    <col min="4361" max="4607" width="9.28515625" style="44"/>
    <col min="4608" max="4608" width="11.42578125" style="44" customWidth="1"/>
    <col min="4609" max="4609" width="11.28515625" style="44" customWidth="1"/>
    <col min="4610" max="4610" width="15.7109375" style="44" customWidth="1"/>
    <col min="4611" max="4611" width="16.7109375" style="44" customWidth="1"/>
    <col min="4612" max="4612" width="19.28515625" style="44" customWidth="1"/>
    <col min="4613" max="4613" width="33.7109375" style="44" customWidth="1"/>
    <col min="4614" max="4614" width="16.7109375" style="44" customWidth="1"/>
    <col min="4615" max="4615" width="15.5703125" style="44" customWidth="1"/>
    <col min="4616" max="4616" width="16.7109375" style="44" customWidth="1"/>
    <col min="4617" max="4863" width="9.28515625" style="44"/>
    <col min="4864" max="4864" width="11.42578125" style="44" customWidth="1"/>
    <col min="4865" max="4865" width="11.28515625" style="44" customWidth="1"/>
    <col min="4866" max="4866" width="15.7109375" style="44" customWidth="1"/>
    <col min="4867" max="4867" width="16.7109375" style="44" customWidth="1"/>
    <col min="4868" max="4868" width="19.28515625" style="44" customWidth="1"/>
    <col min="4869" max="4869" width="33.7109375" style="44" customWidth="1"/>
    <col min="4870" max="4870" width="16.7109375" style="44" customWidth="1"/>
    <col min="4871" max="4871" width="15.5703125" style="44" customWidth="1"/>
    <col min="4872" max="4872" width="16.7109375" style="44" customWidth="1"/>
    <col min="4873" max="5119" width="9.28515625" style="44"/>
    <col min="5120" max="5120" width="11.42578125" style="44" customWidth="1"/>
    <col min="5121" max="5121" width="11.28515625" style="44" customWidth="1"/>
    <col min="5122" max="5122" width="15.7109375" style="44" customWidth="1"/>
    <col min="5123" max="5123" width="16.7109375" style="44" customWidth="1"/>
    <col min="5124" max="5124" width="19.28515625" style="44" customWidth="1"/>
    <col min="5125" max="5125" width="33.7109375" style="44" customWidth="1"/>
    <col min="5126" max="5126" width="16.7109375" style="44" customWidth="1"/>
    <col min="5127" max="5127" width="15.5703125" style="44" customWidth="1"/>
    <col min="5128" max="5128" width="16.7109375" style="44" customWidth="1"/>
    <col min="5129" max="5375" width="9.28515625" style="44"/>
    <col min="5376" max="5376" width="11.42578125" style="44" customWidth="1"/>
    <col min="5377" max="5377" width="11.28515625" style="44" customWidth="1"/>
    <col min="5378" max="5378" width="15.7109375" style="44" customWidth="1"/>
    <col min="5379" max="5379" width="16.7109375" style="44" customWidth="1"/>
    <col min="5380" max="5380" width="19.28515625" style="44" customWidth="1"/>
    <col min="5381" max="5381" width="33.7109375" style="44" customWidth="1"/>
    <col min="5382" max="5382" width="16.7109375" style="44" customWidth="1"/>
    <col min="5383" max="5383" width="15.5703125" style="44" customWidth="1"/>
    <col min="5384" max="5384" width="16.7109375" style="44" customWidth="1"/>
    <col min="5385" max="5631" width="9.28515625" style="44"/>
    <col min="5632" max="5632" width="11.42578125" style="44" customWidth="1"/>
    <col min="5633" max="5633" width="11.28515625" style="44" customWidth="1"/>
    <col min="5634" max="5634" width="15.7109375" style="44" customWidth="1"/>
    <col min="5635" max="5635" width="16.7109375" style="44" customWidth="1"/>
    <col min="5636" max="5636" width="19.28515625" style="44" customWidth="1"/>
    <col min="5637" max="5637" width="33.7109375" style="44" customWidth="1"/>
    <col min="5638" max="5638" width="16.7109375" style="44" customWidth="1"/>
    <col min="5639" max="5639" width="15.5703125" style="44" customWidth="1"/>
    <col min="5640" max="5640" width="16.7109375" style="44" customWidth="1"/>
    <col min="5641" max="5887" width="9.28515625" style="44"/>
    <col min="5888" max="5888" width="11.42578125" style="44" customWidth="1"/>
    <col min="5889" max="5889" width="11.28515625" style="44" customWidth="1"/>
    <col min="5890" max="5890" width="15.7109375" style="44" customWidth="1"/>
    <col min="5891" max="5891" width="16.7109375" style="44" customWidth="1"/>
    <col min="5892" max="5892" width="19.28515625" style="44" customWidth="1"/>
    <col min="5893" max="5893" width="33.7109375" style="44" customWidth="1"/>
    <col min="5894" max="5894" width="16.7109375" style="44" customWidth="1"/>
    <col min="5895" max="5895" width="15.5703125" style="44" customWidth="1"/>
    <col min="5896" max="5896" width="16.7109375" style="44" customWidth="1"/>
    <col min="5897" max="6143" width="9.28515625" style="44"/>
    <col min="6144" max="6144" width="11.42578125" style="44" customWidth="1"/>
    <col min="6145" max="6145" width="11.28515625" style="44" customWidth="1"/>
    <col min="6146" max="6146" width="15.7109375" style="44" customWidth="1"/>
    <col min="6147" max="6147" width="16.7109375" style="44" customWidth="1"/>
    <col min="6148" max="6148" width="19.28515625" style="44" customWidth="1"/>
    <col min="6149" max="6149" width="33.7109375" style="44" customWidth="1"/>
    <col min="6150" max="6150" width="16.7109375" style="44" customWidth="1"/>
    <col min="6151" max="6151" width="15.5703125" style="44" customWidth="1"/>
    <col min="6152" max="6152" width="16.7109375" style="44" customWidth="1"/>
    <col min="6153" max="6399" width="9.28515625" style="44"/>
    <col min="6400" max="6400" width="11.42578125" style="44" customWidth="1"/>
    <col min="6401" max="6401" width="11.28515625" style="44" customWidth="1"/>
    <col min="6402" max="6402" width="15.7109375" style="44" customWidth="1"/>
    <col min="6403" max="6403" width="16.7109375" style="44" customWidth="1"/>
    <col min="6404" max="6404" width="19.28515625" style="44" customWidth="1"/>
    <col min="6405" max="6405" width="33.7109375" style="44" customWidth="1"/>
    <col min="6406" max="6406" width="16.7109375" style="44" customWidth="1"/>
    <col min="6407" max="6407" width="15.5703125" style="44" customWidth="1"/>
    <col min="6408" max="6408" width="16.7109375" style="44" customWidth="1"/>
    <col min="6409" max="6655" width="9.28515625" style="44"/>
    <col min="6656" max="6656" width="11.42578125" style="44" customWidth="1"/>
    <col min="6657" max="6657" width="11.28515625" style="44" customWidth="1"/>
    <col min="6658" max="6658" width="15.7109375" style="44" customWidth="1"/>
    <col min="6659" max="6659" width="16.7109375" style="44" customWidth="1"/>
    <col min="6660" max="6660" width="19.28515625" style="44" customWidth="1"/>
    <col min="6661" max="6661" width="33.7109375" style="44" customWidth="1"/>
    <col min="6662" max="6662" width="16.7109375" style="44" customWidth="1"/>
    <col min="6663" max="6663" width="15.5703125" style="44" customWidth="1"/>
    <col min="6664" max="6664" width="16.7109375" style="44" customWidth="1"/>
    <col min="6665" max="6911" width="9.28515625" style="44"/>
    <col min="6912" max="6912" width="11.42578125" style="44" customWidth="1"/>
    <col min="6913" max="6913" width="11.28515625" style="44" customWidth="1"/>
    <col min="6914" max="6914" width="15.7109375" style="44" customWidth="1"/>
    <col min="6915" max="6915" width="16.7109375" style="44" customWidth="1"/>
    <col min="6916" max="6916" width="19.28515625" style="44" customWidth="1"/>
    <col min="6917" max="6917" width="33.7109375" style="44" customWidth="1"/>
    <col min="6918" max="6918" width="16.7109375" style="44" customWidth="1"/>
    <col min="6919" max="6919" width="15.5703125" style="44" customWidth="1"/>
    <col min="6920" max="6920" width="16.7109375" style="44" customWidth="1"/>
    <col min="6921" max="7167" width="9.28515625" style="44"/>
    <col min="7168" max="7168" width="11.42578125" style="44" customWidth="1"/>
    <col min="7169" max="7169" width="11.28515625" style="44" customWidth="1"/>
    <col min="7170" max="7170" width="15.7109375" style="44" customWidth="1"/>
    <col min="7171" max="7171" width="16.7109375" style="44" customWidth="1"/>
    <col min="7172" max="7172" width="19.28515625" style="44" customWidth="1"/>
    <col min="7173" max="7173" width="33.7109375" style="44" customWidth="1"/>
    <col min="7174" max="7174" width="16.7109375" style="44" customWidth="1"/>
    <col min="7175" max="7175" width="15.5703125" style="44" customWidth="1"/>
    <col min="7176" max="7176" width="16.7109375" style="44" customWidth="1"/>
    <col min="7177" max="7423" width="9.28515625" style="44"/>
    <col min="7424" max="7424" width="11.42578125" style="44" customWidth="1"/>
    <col min="7425" max="7425" width="11.28515625" style="44" customWidth="1"/>
    <col min="7426" max="7426" width="15.7109375" style="44" customWidth="1"/>
    <col min="7427" max="7427" width="16.7109375" style="44" customWidth="1"/>
    <col min="7428" max="7428" width="19.28515625" style="44" customWidth="1"/>
    <col min="7429" max="7429" width="33.7109375" style="44" customWidth="1"/>
    <col min="7430" max="7430" width="16.7109375" style="44" customWidth="1"/>
    <col min="7431" max="7431" width="15.5703125" style="44" customWidth="1"/>
    <col min="7432" max="7432" width="16.7109375" style="44" customWidth="1"/>
    <col min="7433" max="7679" width="9.28515625" style="44"/>
    <col min="7680" max="7680" width="11.42578125" style="44" customWidth="1"/>
    <col min="7681" max="7681" width="11.28515625" style="44" customWidth="1"/>
    <col min="7682" max="7682" width="15.7109375" style="44" customWidth="1"/>
    <col min="7683" max="7683" width="16.7109375" style="44" customWidth="1"/>
    <col min="7684" max="7684" width="19.28515625" style="44" customWidth="1"/>
    <col min="7685" max="7685" width="33.7109375" style="44" customWidth="1"/>
    <col min="7686" max="7686" width="16.7109375" style="44" customWidth="1"/>
    <col min="7687" max="7687" width="15.5703125" style="44" customWidth="1"/>
    <col min="7688" max="7688" width="16.7109375" style="44" customWidth="1"/>
    <col min="7689" max="7935" width="9.28515625" style="44"/>
    <col min="7936" max="7936" width="11.42578125" style="44" customWidth="1"/>
    <col min="7937" max="7937" width="11.28515625" style="44" customWidth="1"/>
    <col min="7938" max="7938" width="15.7109375" style="44" customWidth="1"/>
    <col min="7939" max="7939" width="16.7109375" style="44" customWidth="1"/>
    <col min="7940" max="7940" width="19.28515625" style="44" customWidth="1"/>
    <col min="7941" max="7941" width="33.7109375" style="44" customWidth="1"/>
    <col min="7942" max="7942" width="16.7109375" style="44" customWidth="1"/>
    <col min="7943" max="7943" width="15.5703125" style="44" customWidth="1"/>
    <col min="7944" max="7944" width="16.7109375" style="44" customWidth="1"/>
    <col min="7945" max="8191" width="9.28515625" style="44"/>
    <col min="8192" max="8192" width="11.42578125" style="44" customWidth="1"/>
    <col min="8193" max="8193" width="11.28515625" style="44" customWidth="1"/>
    <col min="8194" max="8194" width="15.7109375" style="44" customWidth="1"/>
    <col min="8195" max="8195" width="16.7109375" style="44" customWidth="1"/>
    <col min="8196" max="8196" width="19.28515625" style="44" customWidth="1"/>
    <col min="8197" max="8197" width="33.7109375" style="44" customWidth="1"/>
    <col min="8198" max="8198" width="16.7109375" style="44" customWidth="1"/>
    <col min="8199" max="8199" width="15.5703125" style="44" customWidth="1"/>
    <col min="8200" max="8200" width="16.7109375" style="44" customWidth="1"/>
    <col min="8201" max="8447" width="9.28515625" style="44"/>
    <col min="8448" max="8448" width="11.42578125" style="44" customWidth="1"/>
    <col min="8449" max="8449" width="11.28515625" style="44" customWidth="1"/>
    <col min="8450" max="8450" width="15.7109375" style="44" customWidth="1"/>
    <col min="8451" max="8451" width="16.7109375" style="44" customWidth="1"/>
    <col min="8452" max="8452" width="19.28515625" style="44" customWidth="1"/>
    <col min="8453" max="8453" width="33.7109375" style="44" customWidth="1"/>
    <col min="8454" max="8454" width="16.7109375" style="44" customWidth="1"/>
    <col min="8455" max="8455" width="15.5703125" style="44" customWidth="1"/>
    <col min="8456" max="8456" width="16.7109375" style="44" customWidth="1"/>
    <col min="8457" max="8703" width="9.28515625" style="44"/>
    <col min="8704" max="8704" width="11.42578125" style="44" customWidth="1"/>
    <col min="8705" max="8705" width="11.28515625" style="44" customWidth="1"/>
    <col min="8706" max="8706" width="15.7109375" style="44" customWidth="1"/>
    <col min="8707" max="8707" width="16.7109375" style="44" customWidth="1"/>
    <col min="8708" max="8708" width="19.28515625" style="44" customWidth="1"/>
    <col min="8709" max="8709" width="33.7109375" style="44" customWidth="1"/>
    <col min="8710" max="8710" width="16.7109375" style="44" customWidth="1"/>
    <col min="8711" max="8711" width="15.5703125" style="44" customWidth="1"/>
    <col min="8712" max="8712" width="16.7109375" style="44" customWidth="1"/>
    <col min="8713" max="8959" width="9.28515625" style="44"/>
    <col min="8960" max="8960" width="11.42578125" style="44" customWidth="1"/>
    <col min="8961" max="8961" width="11.28515625" style="44" customWidth="1"/>
    <col min="8962" max="8962" width="15.7109375" style="44" customWidth="1"/>
    <col min="8963" max="8963" width="16.7109375" style="44" customWidth="1"/>
    <col min="8964" max="8964" width="19.28515625" style="44" customWidth="1"/>
    <col min="8965" max="8965" width="33.7109375" style="44" customWidth="1"/>
    <col min="8966" max="8966" width="16.7109375" style="44" customWidth="1"/>
    <col min="8967" max="8967" width="15.5703125" style="44" customWidth="1"/>
    <col min="8968" max="8968" width="16.7109375" style="44" customWidth="1"/>
    <col min="8969" max="9215" width="9.28515625" style="44"/>
    <col min="9216" max="9216" width="11.42578125" style="44" customWidth="1"/>
    <col min="9217" max="9217" width="11.28515625" style="44" customWidth="1"/>
    <col min="9218" max="9218" width="15.7109375" style="44" customWidth="1"/>
    <col min="9219" max="9219" width="16.7109375" style="44" customWidth="1"/>
    <col min="9220" max="9220" width="19.28515625" style="44" customWidth="1"/>
    <col min="9221" max="9221" width="33.7109375" style="44" customWidth="1"/>
    <col min="9222" max="9222" width="16.7109375" style="44" customWidth="1"/>
    <col min="9223" max="9223" width="15.5703125" style="44" customWidth="1"/>
    <col min="9224" max="9224" width="16.7109375" style="44" customWidth="1"/>
    <col min="9225" max="9471" width="9.28515625" style="44"/>
    <col min="9472" max="9472" width="11.42578125" style="44" customWidth="1"/>
    <col min="9473" max="9473" width="11.28515625" style="44" customWidth="1"/>
    <col min="9474" max="9474" width="15.7109375" style="44" customWidth="1"/>
    <col min="9475" max="9475" width="16.7109375" style="44" customWidth="1"/>
    <col min="9476" max="9476" width="19.28515625" style="44" customWidth="1"/>
    <col min="9477" max="9477" width="33.7109375" style="44" customWidth="1"/>
    <col min="9478" max="9478" width="16.7109375" style="44" customWidth="1"/>
    <col min="9479" max="9479" width="15.5703125" style="44" customWidth="1"/>
    <col min="9480" max="9480" width="16.7109375" style="44" customWidth="1"/>
    <col min="9481" max="9727" width="9.28515625" style="44"/>
    <col min="9728" max="9728" width="11.42578125" style="44" customWidth="1"/>
    <col min="9729" max="9729" width="11.28515625" style="44" customWidth="1"/>
    <col min="9730" max="9730" width="15.7109375" style="44" customWidth="1"/>
    <col min="9731" max="9731" width="16.7109375" style="44" customWidth="1"/>
    <col min="9732" max="9732" width="19.28515625" style="44" customWidth="1"/>
    <col min="9733" max="9733" width="33.7109375" style="44" customWidth="1"/>
    <col min="9734" max="9734" width="16.7109375" style="44" customWidth="1"/>
    <col min="9735" max="9735" width="15.5703125" style="44" customWidth="1"/>
    <col min="9736" max="9736" width="16.7109375" style="44" customWidth="1"/>
    <col min="9737" max="9983" width="9.28515625" style="44"/>
    <col min="9984" max="9984" width="11.42578125" style="44" customWidth="1"/>
    <col min="9985" max="9985" width="11.28515625" style="44" customWidth="1"/>
    <col min="9986" max="9986" width="15.7109375" style="44" customWidth="1"/>
    <col min="9987" max="9987" width="16.7109375" style="44" customWidth="1"/>
    <col min="9988" max="9988" width="19.28515625" style="44" customWidth="1"/>
    <col min="9989" max="9989" width="33.7109375" style="44" customWidth="1"/>
    <col min="9990" max="9990" width="16.7109375" style="44" customWidth="1"/>
    <col min="9991" max="9991" width="15.5703125" style="44" customWidth="1"/>
    <col min="9992" max="9992" width="16.7109375" style="44" customWidth="1"/>
    <col min="9993" max="10239" width="9.28515625" style="44"/>
    <col min="10240" max="10240" width="11.42578125" style="44" customWidth="1"/>
    <col min="10241" max="10241" width="11.28515625" style="44" customWidth="1"/>
    <col min="10242" max="10242" width="15.7109375" style="44" customWidth="1"/>
    <col min="10243" max="10243" width="16.7109375" style="44" customWidth="1"/>
    <col min="10244" max="10244" width="19.28515625" style="44" customWidth="1"/>
    <col min="10245" max="10245" width="33.7109375" style="44" customWidth="1"/>
    <col min="10246" max="10246" width="16.7109375" style="44" customWidth="1"/>
    <col min="10247" max="10247" width="15.5703125" style="44" customWidth="1"/>
    <col min="10248" max="10248" width="16.7109375" style="44" customWidth="1"/>
    <col min="10249" max="10495" width="9.28515625" style="44"/>
    <col min="10496" max="10496" width="11.42578125" style="44" customWidth="1"/>
    <col min="10497" max="10497" width="11.28515625" style="44" customWidth="1"/>
    <col min="10498" max="10498" width="15.7109375" style="44" customWidth="1"/>
    <col min="10499" max="10499" width="16.7109375" style="44" customWidth="1"/>
    <col min="10500" max="10500" width="19.28515625" style="44" customWidth="1"/>
    <col min="10501" max="10501" width="33.7109375" style="44" customWidth="1"/>
    <col min="10502" max="10502" width="16.7109375" style="44" customWidth="1"/>
    <col min="10503" max="10503" width="15.5703125" style="44" customWidth="1"/>
    <col min="10504" max="10504" width="16.7109375" style="44" customWidth="1"/>
    <col min="10505" max="10751" width="9.28515625" style="44"/>
    <col min="10752" max="10752" width="11.42578125" style="44" customWidth="1"/>
    <col min="10753" max="10753" width="11.28515625" style="44" customWidth="1"/>
    <col min="10754" max="10754" width="15.7109375" style="44" customWidth="1"/>
    <col min="10755" max="10755" width="16.7109375" style="44" customWidth="1"/>
    <col min="10756" max="10756" width="19.28515625" style="44" customWidth="1"/>
    <col min="10757" max="10757" width="33.7109375" style="44" customWidth="1"/>
    <col min="10758" max="10758" width="16.7109375" style="44" customWidth="1"/>
    <col min="10759" max="10759" width="15.5703125" style="44" customWidth="1"/>
    <col min="10760" max="10760" width="16.7109375" style="44" customWidth="1"/>
    <col min="10761" max="11007" width="9.28515625" style="44"/>
    <col min="11008" max="11008" width="11.42578125" style="44" customWidth="1"/>
    <col min="11009" max="11009" width="11.28515625" style="44" customWidth="1"/>
    <col min="11010" max="11010" width="15.7109375" style="44" customWidth="1"/>
    <col min="11011" max="11011" width="16.7109375" style="44" customWidth="1"/>
    <col min="11012" max="11012" width="19.28515625" style="44" customWidth="1"/>
    <col min="11013" max="11013" width="33.7109375" style="44" customWidth="1"/>
    <col min="11014" max="11014" width="16.7109375" style="44" customWidth="1"/>
    <col min="11015" max="11015" width="15.5703125" style="44" customWidth="1"/>
    <col min="11016" max="11016" width="16.7109375" style="44" customWidth="1"/>
    <col min="11017" max="11263" width="9.28515625" style="44"/>
    <col min="11264" max="11264" width="11.42578125" style="44" customWidth="1"/>
    <col min="11265" max="11265" width="11.28515625" style="44" customWidth="1"/>
    <col min="11266" max="11266" width="15.7109375" style="44" customWidth="1"/>
    <col min="11267" max="11267" width="16.7109375" style="44" customWidth="1"/>
    <col min="11268" max="11268" width="19.28515625" style="44" customWidth="1"/>
    <col min="11269" max="11269" width="33.7109375" style="44" customWidth="1"/>
    <col min="11270" max="11270" width="16.7109375" style="44" customWidth="1"/>
    <col min="11271" max="11271" width="15.5703125" style="44" customWidth="1"/>
    <col min="11272" max="11272" width="16.7109375" style="44" customWidth="1"/>
    <col min="11273" max="11519" width="9.28515625" style="44"/>
    <col min="11520" max="11520" width="11.42578125" style="44" customWidth="1"/>
    <col min="11521" max="11521" width="11.28515625" style="44" customWidth="1"/>
    <col min="11522" max="11522" width="15.7109375" style="44" customWidth="1"/>
    <col min="11523" max="11523" width="16.7109375" style="44" customWidth="1"/>
    <col min="11524" max="11524" width="19.28515625" style="44" customWidth="1"/>
    <col min="11525" max="11525" width="33.7109375" style="44" customWidth="1"/>
    <col min="11526" max="11526" width="16.7109375" style="44" customWidth="1"/>
    <col min="11527" max="11527" width="15.5703125" style="44" customWidth="1"/>
    <col min="11528" max="11528" width="16.7109375" style="44" customWidth="1"/>
    <col min="11529" max="11775" width="9.28515625" style="44"/>
    <col min="11776" max="11776" width="11.42578125" style="44" customWidth="1"/>
    <col min="11777" max="11777" width="11.28515625" style="44" customWidth="1"/>
    <col min="11778" max="11778" width="15.7109375" style="44" customWidth="1"/>
    <col min="11779" max="11779" width="16.7109375" style="44" customWidth="1"/>
    <col min="11780" max="11780" width="19.28515625" style="44" customWidth="1"/>
    <col min="11781" max="11781" width="33.7109375" style="44" customWidth="1"/>
    <col min="11782" max="11782" width="16.7109375" style="44" customWidth="1"/>
    <col min="11783" max="11783" width="15.5703125" style="44" customWidth="1"/>
    <col min="11784" max="11784" width="16.7109375" style="44" customWidth="1"/>
    <col min="11785" max="12031" width="9.28515625" style="44"/>
    <col min="12032" max="12032" width="11.42578125" style="44" customWidth="1"/>
    <col min="12033" max="12033" width="11.28515625" style="44" customWidth="1"/>
    <col min="12034" max="12034" width="15.7109375" style="44" customWidth="1"/>
    <col min="12035" max="12035" width="16.7109375" style="44" customWidth="1"/>
    <col min="12036" max="12036" width="19.28515625" style="44" customWidth="1"/>
    <col min="12037" max="12037" width="33.7109375" style="44" customWidth="1"/>
    <col min="12038" max="12038" width="16.7109375" style="44" customWidth="1"/>
    <col min="12039" max="12039" width="15.5703125" style="44" customWidth="1"/>
    <col min="12040" max="12040" width="16.7109375" style="44" customWidth="1"/>
    <col min="12041" max="12287" width="9.28515625" style="44"/>
    <col min="12288" max="12288" width="11.42578125" style="44" customWidth="1"/>
    <col min="12289" max="12289" width="11.28515625" style="44" customWidth="1"/>
    <col min="12290" max="12290" width="15.7109375" style="44" customWidth="1"/>
    <col min="12291" max="12291" width="16.7109375" style="44" customWidth="1"/>
    <col min="12292" max="12292" width="19.28515625" style="44" customWidth="1"/>
    <col min="12293" max="12293" width="33.7109375" style="44" customWidth="1"/>
    <col min="12294" max="12294" width="16.7109375" style="44" customWidth="1"/>
    <col min="12295" max="12295" width="15.5703125" style="44" customWidth="1"/>
    <col min="12296" max="12296" width="16.7109375" style="44" customWidth="1"/>
    <col min="12297" max="12543" width="9.28515625" style="44"/>
    <col min="12544" max="12544" width="11.42578125" style="44" customWidth="1"/>
    <col min="12545" max="12545" width="11.28515625" style="44" customWidth="1"/>
    <col min="12546" max="12546" width="15.7109375" style="44" customWidth="1"/>
    <col min="12547" max="12547" width="16.7109375" style="44" customWidth="1"/>
    <col min="12548" max="12548" width="19.28515625" style="44" customWidth="1"/>
    <col min="12549" max="12549" width="33.7109375" style="44" customWidth="1"/>
    <col min="12550" max="12550" width="16.7109375" style="44" customWidth="1"/>
    <col min="12551" max="12551" width="15.5703125" style="44" customWidth="1"/>
    <col min="12552" max="12552" width="16.7109375" style="44" customWidth="1"/>
    <col min="12553" max="12799" width="9.28515625" style="44"/>
    <col min="12800" max="12800" width="11.42578125" style="44" customWidth="1"/>
    <col min="12801" max="12801" width="11.28515625" style="44" customWidth="1"/>
    <col min="12802" max="12802" width="15.7109375" style="44" customWidth="1"/>
    <col min="12803" max="12803" width="16.7109375" style="44" customWidth="1"/>
    <col min="12804" max="12804" width="19.28515625" style="44" customWidth="1"/>
    <col min="12805" max="12805" width="33.7109375" style="44" customWidth="1"/>
    <col min="12806" max="12806" width="16.7109375" style="44" customWidth="1"/>
    <col min="12807" max="12807" width="15.5703125" style="44" customWidth="1"/>
    <col min="12808" max="12808" width="16.7109375" style="44" customWidth="1"/>
    <col min="12809" max="13055" width="9.28515625" style="44"/>
    <col min="13056" max="13056" width="11.42578125" style="44" customWidth="1"/>
    <col min="13057" max="13057" width="11.28515625" style="44" customWidth="1"/>
    <col min="13058" max="13058" width="15.7109375" style="44" customWidth="1"/>
    <col min="13059" max="13059" width="16.7109375" style="44" customWidth="1"/>
    <col min="13060" max="13060" width="19.28515625" style="44" customWidth="1"/>
    <col min="13061" max="13061" width="33.7109375" style="44" customWidth="1"/>
    <col min="13062" max="13062" width="16.7109375" style="44" customWidth="1"/>
    <col min="13063" max="13063" width="15.5703125" style="44" customWidth="1"/>
    <col min="13064" max="13064" width="16.7109375" style="44" customWidth="1"/>
    <col min="13065" max="13311" width="9.28515625" style="44"/>
    <col min="13312" max="13312" width="11.42578125" style="44" customWidth="1"/>
    <col min="13313" max="13313" width="11.28515625" style="44" customWidth="1"/>
    <col min="13314" max="13314" width="15.7109375" style="44" customWidth="1"/>
    <col min="13315" max="13315" width="16.7109375" style="44" customWidth="1"/>
    <col min="13316" max="13316" width="19.28515625" style="44" customWidth="1"/>
    <col min="13317" max="13317" width="33.7109375" style="44" customWidth="1"/>
    <col min="13318" max="13318" width="16.7109375" style="44" customWidth="1"/>
    <col min="13319" max="13319" width="15.5703125" style="44" customWidth="1"/>
    <col min="13320" max="13320" width="16.7109375" style="44" customWidth="1"/>
    <col min="13321" max="13567" width="9.28515625" style="44"/>
    <col min="13568" max="13568" width="11.42578125" style="44" customWidth="1"/>
    <col min="13569" max="13569" width="11.28515625" style="44" customWidth="1"/>
    <col min="13570" max="13570" width="15.7109375" style="44" customWidth="1"/>
    <col min="13571" max="13571" width="16.7109375" style="44" customWidth="1"/>
    <col min="13572" max="13572" width="19.28515625" style="44" customWidth="1"/>
    <col min="13573" max="13573" width="33.7109375" style="44" customWidth="1"/>
    <col min="13574" max="13574" width="16.7109375" style="44" customWidth="1"/>
    <col min="13575" max="13575" width="15.5703125" style="44" customWidth="1"/>
    <col min="13576" max="13576" width="16.7109375" style="44" customWidth="1"/>
    <col min="13577" max="13823" width="9.28515625" style="44"/>
    <col min="13824" max="13824" width="11.42578125" style="44" customWidth="1"/>
    <col min="13825" max="13825" width="11.28515625" style="44" customWidth="1"/>
    <col min="13826" max="13826" width="15.7109375" style="44" customWidth="1"/>
    <col min="13827" max="13827" width="16.7109375" style="44" customWidth="1"/>
    <col min="13828" max="13828" width="19.28515625" style="44" customWidth="1"/>
    <col min="13829" max="13829" width="33.7109375" style="44" customWidth="1"/>
    <col min="13830" max="13830" width="16.7109375" style="44" customWidth="1"/>
    <col min="13831" max="13831" width="15.5703125" style="44" customWidth="1"/>
    <col min="13832" max="13832" width="16.7109375" style="44" customWidth="1"/>
    <col min="13833" max="14079" width="9.28515625" style="44"/>
    <col min="14080" max="14080" width="11.42578125" style="44" customWidth="1"/>
    <col min="14081" max="14081" width="11.28515625" style="44" customWidth="1"/>
    <col min="14082" max="14082" width="15.7109375" style="44" customWidth="1"/>
    <col min="14083" max="14083" width="16.7109375" style="44" customWidth="1"/>
    <col min="14084" max="14084" width="19.28515625" style="44" customWidth="1"/>
    <col min="14085" max="14085" width="33.7109375" style="44" customWidth="1"/>
    <col min="14086" max="14086" width="16.7109375" style="44" customWidth="1"/>
    <col min="14087" max="14087" width="15.5703125" style="44" customWidth="1"/>
    <col min="14088" max="14088" width="16.7109375" style="44" customWidth="1"/>
    <col min="14089" max="14335" width="9.28515625" style="44"/>
    <col min="14336" max="14336" width="11.42578125" style="44" customWidth="1"/>
    <col min="14337" max="14337" width="11.28515625" style="44" customWidth="1"/>
    <col min="14338" max="14338" width="15.7109375" style="44" customWidth="1"/>
    <col min="14339" max="14339" width="16.7109375" style="44" customWidth="1"/>
    <col min="14340" max="14340" width="19.28515625" style="44" customWidth="1"/>
    <col min="14341" max="14341" width="33.7109375" style="44" customWidth="1"/>
    <col min="14342" max="14342" width="16.7109375" style="44" customWidth="1"/>
    <col min="14343" max="14343" width="15.5703125" style="44" customWidth="1"/>
    <col min="14344" max="14344" width="16.7109375" style="44" customWidth="1"/>
    <col min="14345" max="14591" width="9.28515625" style="44"/>
    <col min="14592" max="14592" width="11.42578125" style="44" customWidth="1"/>
    <col min="14593" max="14593" width="11.28515625" style="44" customWidth="1"/>
    <col min="14594" max="14594" width="15.7109375" style="44" customWidth="1"/>
    <col min="14595" max="14595" width="16.7109375" style="44" customWidth="1"/>
    <col min="14596" max="14596" width="19.28515625" style="44" customWidth="1"/>
    <col min="14597" max="14597" width="33.7109375" style="44" customWidth="1"/>
    <col min="14598" max="14598" width="16.7109375" style="44" customWidth="1"/>
    <col min="14599" max="14599" width="15.5703125" style="44" customWidth="1"/>
    <col min="14600" max="14600" width="16.7109375" style="44" customWidth="1"/>
    <col min="14601" max="14847" width="9.28515625" style="44"/>
    <col min="14848" max="14848" width="11.42578125" style="44" customWidth="1"/>
    <col min="14849" max="14849" width="11.28515625" style="44" customWidth="1"/>
    <col min="14850" max="14850" width="15.7109375" style="44" customWidth="1"/>
    <col min="14851" max="14851" width="16.7109375" style="44" customWidth="1"/>
    <col min="14852" max="14852" width="19.28515625" style="44" customWidth="1"/>
    <col min="14853" max="14853" width="33.7109375" style="44" customWidth="1"/>
    <col min="14854" max="14854" width="16.7109375" style="44" customWidth="1"/>
    <col min="14855" max="14855" width="15.5703125" style="44" customWidth="1"/>
    <col min="14856" max="14856" width="16.7109375" style="44" customWidth="1"/>
    <col min="14857" max="15103" width="9.28515625" style="44"/>
    <col min="15104" max="15104" width="11.42578125" style="44" customWidth="1"/>
    <col min="15105" max="15105" width="11.28515625" style="44" customWidth="1"/>
    <col min="15106" max="15106" width="15.7109375" style="44" customWidth="1"/>
    <col min="15107" max="15107" width="16.7109375" style="44" customWidth="1"/>
    <col min="15108" max="15108" width="19.28515625" style="44" customWidth="1"/>
    <col min="15109" max="15109" width="33.7109375" style="44" customWidth="1"/>
    <col min="15110" max="15110" width="16.7109375" style="44" customWidth="1"/>
    <col min="15111" max="15111" width="15.5703125" style="44" customWidth="1"/>
    <col min="15112" max="15112" width="16.7109375" style="44" customWidth="1"/>
    <col min="15113" max="15359" width="9.28515625" style="44"/>
    <col min="15360" max="15360" width="11.42578125" style="44" customWidth="1"/>
    <col min="15361" max="15361" width="11.28515625" style="44" customWidth="1"/>
    <col min="15362" max="15362" width="15.7109375" style="44" customWidth="1"/>
    <col min="15363" max="15363" width="16.7109375" style="44" customWidth="1"/>
    <col min="15364" max="15364" width="19.28515625" style="44" customWidth="1"/>
    <col min="15365" max="15365" width="33.7109375" style="44" customWidth="1"/>
    <col min="15366" max="15366" width="16.7109375" style="44" customWidth="1"/>
    <col min="15367" max="15367" width="15.5703125" style="44" customWidth="1"/>
    <col min="15368" max="15368" width="16.7109375" style="44" customWidth="1"/>
    <col min="15369" max="15615" width="9.28515625" style="44"/>
    <col min="15616" max="15616" width="11.42578125" style="44" customWidth="1"/>
    <col min="15617" max="15617" width="11.28515625" style="44" customWidth="1"/>
    <col min="15618" max="15618" width="15.7109375" style="44" customWidth="1"/>
    <col min="15619" max="15619" width="16.7109375" style="44" customWidth="1"/>
    <col min="15620" max="15620" width="19.28515625" style="44" customWidth="1"/>
    <col min="15621" max="15621" width="33.7109375" style="44" customWidth="1"/>
    <col min="15622" max="15622" width="16.7109375" style="44" customWidth="1"/>
    <col min="15623" max="15623" width="15.5703125" style="44" customWidth="1"/>
    <col min="15624" max="15624" width="16.7109375" style="44" customWidth="1"/>
    <col min="15625" max="15871" width="9.28515625" style="44"/>
    <col min="15872" max="15872" width="11.42578125" style="44" customWidth="1"/>
    <col min="15873" max="15873" width="11.28515625" style="44" customWidth="1"/>
    <col min="15874" max="15874" width="15.7109375" style="44" customWidth="1"/>
    <col min="15875" max="15875" width="16.7109375" style="44" customWidth="1"/>
    <col min="15876" max="15876" width="19.28515625" style="44" customWidth="1"/>
    <col min="15877" max="15877" width="33.7109375" style="44" customWidth="1"/>
    <col min="15878" max="15878" width="16.7109375" style="44" customWidth="1"/>
    <col min="15879" max="15879" width="15.5703125" style="44" customWidth="1"/>
    <col min="15880" max="15880" width="16.7109375" style="44" customWidth="1"/>
    <col min="15881" max="16127" width="9.28515625" style="44"/>
    <col min="16128" max="16128" width="11.42578125" style="44" customWidth="1"/>
    <col min="16129" max="16129" width="11.28515625" style="44" customWidth="1"/>
    <col min="16130" max="16130" width="15.7109375" style="44" customWidth="1"/>
    <col min="16131" max="16131" width="16.7109375" style="44" customWidth="1"/>
    <col min="16132" max="16132" width="19.28515625" style="44" customWidth="1"/>
    <col min="16133" max="16133" width="33.7109375" style="44" customWidth="1"/>
    <col min="16134" max="16134" width="16.7109375" style="44" customWidth="1"/>
    <col min="16135" max="16135" width="15.5703125" style="44" customWidth="1"/>
    <col min="16136" max="16136" width="16.7109375" style="44" customWidth="1"/>
    <col min="16137" max="16384" width="9.28515625" style="44"/>
  </cols>
  <sheetData>
    <row r="1" spans="1:12" s="8" customFormat="1" ht="33" customHeight="1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5"/>
      <c r="K1" s="6" t="s">
        <v>1</v>
      </c>
      <c r="L1" s="7"/>
    </row>
    <row r="2" spans="1:12" s="8" customFormat="1" ht="18" customHeight="1" x14ac:dyDescent="0.25">
      <c r="A2" s="9"/>
      <c r="B2" s="10"/>
      <c r="C2" s="11"/>
      <c r="D2" s="12"/>
      <c r="E2" s="12"/>
      <c r="F2" s="12"/>
      <c r="G2" s="12"/>
      <c r="H2" s="12"/>
      <c r="I2" s="12"/>
      <c r="J2" s="13"/>
      <c r="K2" s="14" t="s">
        <v>2</v>
      </c>
      <c r="L2" s="15"/>
    </row>
    <row r="3" spans="1:12" s="8" customFormat="1" ht="34.15" customHeight="1" x14ac:dyDescent="0.25">
      <c r="A3" s="16"/>
      <c r="B3" s="17"/>
      <c r="C3" s="18"/>
      <c r="D3" s="19"/>
      <c r="E3" s="19"/>
      <c r="F3" s="19"/>
      <c r="G3" s="19"/>
      <c r="H3" s="19"/>
      <c r="I3" s="19"/>
      <c r="J3" s="20"/>
      <c r="K3" s="6" t="s">
        <v>3</v>
      </c>
      <c r="L3" s="7"/>
    </row>
    <row r="4" spans="1:12" s="8" customFormat="1" ht="18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s="8" customFormat="1" ht="63" customHeight="1" x14ac:dyDescent="0.25">
      <c r="A5" s="22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s="8" customFormat="1" ht="18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s="8" customFormat="1" ht="28.9" customHeight="1" x14ac:dyDescent="0.25">
      <c r="A7" s="23" t="s">
        <v>5</v>
      </c>
      <c r="B7" s="24"/>
      <c r="C7" s="25" t="s">
        <v>6</v>
      </c>
      <c r="D7" s="26"/>
      <c r="E7" s="26"/>
      <c r="F7" s="26"/>
      <c r="G7" s="26"/>
      <c r="H7" s="26"/>
      <c r="I7" s="27" t="s">
        <v>7</v>
      </c>
      <c r="J7" s="25" t="s">
        <v>8</v>
      </c>
      <c r="K7" s="26"/>
      <c r="L7" s="28"/>
    </row>
    <row r="8" spans="1:12" s="8" customFormat="1" ht="28.9" customHeight="1" x14ac:dyDescent="0.25">
      <c r="A8" s="23" t="s">
        <v>9</v>
      </c>
      <c r="B8" s="24"/>
      <c r="C8" s="25" t="s">
        <v>10</v>
      </c>
      <c r="D8" s="26"/>
      <c r="E8" s="26"/>
      <c r="F8" s="26"/>
      <c r="G8" s="26"/>
      <c r="H8" s="26"/>
      <c r="I8" s="29" t="s">
        <v>11</v>
      </c>
      <c r="J8" s="25" t="s">
        <v>12</v>
      </c>
      <c r="K8" s="26"/>
      <c r="L8" s="28"/>
    </row>
    <row r="9" spans="1:12" s="8" customFormat="1" ht="18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</row>
    <row r="10" spans="1:12" s="8" customFormat="1" ht="27" customHeight="1" x14ac:dyDescent="0.25">
      <c r="A10" s="31" t="s">
        <v>13</v>
      </c>
      <c r="B10" s="31"/>
      <c r="C10" s="31" t="s">
        <v>14</v>
      </c>
      <c r="D10" s="31"/>
      <c r="E10" s="31" t="s">
        <v>15</v>
      </c>
      <c r="F10" s="31"/>
      <c r="G10" s="32"/>
      <c r="H10" s="33"/>
      <c r="I10" s="34" t="s">
        <v>16</v>
      </c>
      <c r="J10" s="34"/>
      <c r="K10" s="34"/>
      <c r="L10" s="34"/>
    </row>
    <row r="11" spans="1:12" s="8" customFormat="1" ht="33.4" customHeight="1" x14ac:dyDescent="0.25">
      <c r="A11" s="35"/>
      <c r="B11" s="36"/>
      <c r="C11" s="35"/>
      <c r="D11" s="36"/>
      <c r="E11" s="37"/>
      <c r="F11" s="38"/>
      <c r="G11" s="32"/>
      <c r="H11" s="33"/>
      <c r="I11" s="39" t="s">
        <v>17</v>
      </c>
      <c r="J11" s="40"/>
      <c r="K11" s="40"/>
      <c r="L11" s="41"/>
    </row>
    <row r="12" spans="1:12" ht="18" customHeight="1" x14ac:dyDescent="0.25">
      <c r="A12" s="42"/>
      <c r="B12" s="42"/>
      <c r="C12" s="43"/>
      <c r="D12" s="43"/>
      <c r="E12" s="43"/>
      <c r="F12" s="43"/>
      <c r="G12" s="43"/>
      <c r="H12" s="43"/>
    </row>
    <row r="13" spans="1:12" ht="18" customHeight="1" x14ac:dyDescent="0.25">
      <c r="A13" s="45" t="s">
        <v>18</v>
      </c>
      <c r="B13" s="45"/>
      <c r="C13" s="46" t="s">
        <v>19</v>
      </c>
      <c r="D13" s="46" t="s">
        <v>20</v>
      </c>
      <c r="E13" s="46" t="s">
        <v>21</v>
      </c>
      <c r="F13" s="46" t="s">
        <v>22</v>
      </c>
      <c r="G13" s="47"/>
      <c r="J13" s="48"/>
    </row>
    <row r="14" spans="1:12" ht="18" customHeight="1" x14ac:dyDescent="0.25">
      <c r="A14" s="49" t="s">
        <v>23</v>
      </c>
      <c r="B14" s="49" t="s">
        <v>24</v>
      </c>
      <c r="C14" s="50"/>
      <c r="D14" s="50"/>
      <c r="E14" s="50"/>
      <c r="F14" s="50"/>
      <c r="G14" s="47"/>
      <c r="H14" s="51" t="s">
        <v>25</v>
      </c>
      <c r="I14" s="51"/>
      <c r="J14" s="52">
        <v>6830</v>
      </c>
      <c r="K14" s="53"/>
      <c r="L14" s="53"/>
    </row>
    <row r="15" spans="1:12" ht="18" customHeight="1" x14ac:dyDescent="0.25">
      <c r="A15" s="54">
        <v>50</v>
      </c>
      <c r="B15" s="54" t="s">
        <v>26</v>
      </c>
      <c r="C15" s="55">
        <v>0</v>
      </c>
      <c r="D15" s="56">
        <f>(C15/$J$19)*100</f>
        <v>0</v>
      </c>
      <c r="E15" s="57">
        <f>D15</f>
        <v>0</v>
      </c>
      <c r="F15" s="58">
        <f>(100-E15)</f>
        <v>100</v>
      </c>
      <c r="G15" s="47"/>
      <c r="H15" s="51" t="s">
        <v>27</v>
      </c>
      <c r="I15" s="51"/>
      <c r="J15" s="59">
        <v>6621</v>
      </c>
      <c r="K15" s="53"/>
      <c r="L15" s="53"/>
    </row>
    <row r="16" spans="1:12" ht="33.75" customHeight="1" x14ac:dyDescent="0.25">
      <c r="A16" s="54">
        <v>37.5</v>
      </c>
      <c r="B16" s="54" t="s">
        <v>28</v>
      </c>
      <c r="C16" s="55">
        <v>895.1</v>
      </c>
      <c r="D16" s="56">
        <f t="shared" ref="D16:D29" si="0">(C16/$J$19)*100</f>
        <v>13.519105875245433</v>
      </c>
      <c r="E16" s="57">
        <f>D16+E15</f>
        <v>13.519105875245433</v>
      </c>
      <c r="F16" s="58">
        <f>(100-E16)</f>
        <v>86.48089412475457</v>
      </c>
      <c r="G16" s="47"/>
      <c r="H16" s="60" t="s">
        <v>29</v>
      </c>
      <c r="I16" s="60"/>
      <c r="J16" s="61"/>
      <c r="K16" s="53"/>
      <c r="L16" s="53"/>
    </row>
    <row r="17" spans="1:22" ht="17.25" customHeight="1" x14ac:dyDescent="0.25">
      <c r="A17" s="54">
        <v>25</v>
      </c>
      <c r="B17" s="54" t="s">
        <v>30</v>
      </c>
      <c r="C17" s="55">
        <v>1094.9000000000001</v>
      </c>
      <c r="D17" s="56">
        <f t="shared" si="0"/>
        <v>16.53677692191512</v>
      </c>
      <c r="E17" s="57">
        <f>D17+E16</f>
        <v>30.055882797160553</v>
      </c>
      <c r="F17" s="58">
        <f>(100-E17)</f>
        <v>69.94411720283945</v>
      </c>
      <c r="G17" s="47"/>
      <c r="H17" s="51" t="s">
        <v>31</v>
      </c>
      <c r="I17" s="51"/>
      <c r="J17" s="62">
        <f>((J14-J15)/J15)</f>
        <v>3.1566228666364597E-2</v>
      </c>
      <c r="K17" s="53"/>
      <c r="L17" s="53"/>
    </row>
    <row r="18" spans="1:22" ht="18" customHeight="1" x14ac:dyDescent="0.25">
      <c r="A18" s="54">
        <v>19</v>
      </c>
      <c r="B18" s="54" t="s">
        <v>32</v>
      </c>
      <c r="C18" s="55">
        <v>565.29999999999995</v>
      </c>
      <c r="D18" s="56">
        <f t="shared" si="0"/>
        <v>8.5379851986104818</v>
      </c>
      <c r="E18" s="57">
        <f>D18+E17</f>
        <v>38.593867995771035</v>
      </c>
      <c r="F18" s="58">
        <f t="shared" ref="F18:F28" si="1">(100-E18)</f>
        <v>61.406132004228965</v>
      </c>
      <c r="G18" s="47"/>
      <c r="H18" s="63" t="s">
        <v>33</v>
      </c>
      <c r="I18" s="63"/>
      <c r="J18" s="64">
        <v>0</v>
      </c>
      <c r="K18" s="53"/>
      <c r="L18" s="53"/>
    </row>
    <row r="19" spans="1:22" ht="18" customHeight="1" x14ac:dyDescent="0.25">
      <c r="A19" s="54">
        <v>12.7</v>
      </c>
      <c r="B19" s="54" t="s">
        <v>34</v>
      </c>
      <c r="C19" s="55">
        <v>767.5</v>
      </c>
      <c r="D19" s="56">
        <f t="shared" si="0"/>
        <v>11.591904546141066</v>
      </c>
      <c r="E19" s="57">
        <f>D19+E18</f>
        <v>50.185772541912101</v>
      </c>
      <c r="F19" s="58">
        <f t="shared" si="1"/>
        <v>49.814227458087899</v>
      </c>
      <c r="G19" s="47"/>
      <c r="H19" s="63" t="s">
        <v>35</v>
      </c>
      <c r="I19" s="63"/>
      <c r="J19" s="65">
        <f>J15-J18</f>
        <v>6621</v>
      </c>
      <c r="K19" s="53"/>
      <c r="L19" s="53"/>
    </row>
    <row r="20" spans="1:22" ht="18" customHeight="1" x14ac:dyDescent="0.25">
      <c r="A20" s="54">
        <v>9.5</v>
      </c>
      <c r="B20" s="54" t="s">
        <v>36</v>
      </c>
      <c r="C20" s="55">
        <v>375.6</v>
      </c>
      <c r="D20" s="56">
        <f t="shared" si="0"/>
        <v>5.6728590847304039</v>
      </c>
      <c r="E20" s="57">
        <f t="shared" ref="E20:E30" si="2">D20+E19</f>
        <v>55.858631626642506</v>
      </c>
      <c r="F20" s="58">
        <f t="shared" si="1"/>
        <v>44.141368373357494</v>
      </c>
      <c r="G20" s="47"/>
      <c r="H20" s="63" t="s">
        <v>37</v>
      </c>
      <c r="I20" s="63"/>
      <c r="J20" s="66" t="s">
        <v>26</v>
      </c>
      <c r="K20" s="53"/>
      <c r="L20" s="53"/>
    </row>
    <row r="21" spans="1:22" ht="18" customHeight="1" x14ac:dyDescent="0.25">
      <c r="A21" s="54">
        <v>4.75</v>
      </c>
      <c r="B21" s="54" t="s">
        <v>38</v>
      </c>
      <c r="C21" s="55">
        <v>792.9</v>
      </c>
      <c r="D21" s="56">
        <f t="shared" si="0"/>
        <v>11.975532396918894</v>
      </c>
      <c r="E21" s="57">
        <f t="shared" si="2"/>
        <v>67.834164023561399</v>
      </c>
      <c r="F21" s="58">
        <f t="shared" si="1"/>
        <v>32.165835976438601</v>
      </c>
      <c r="G21" s="47"/>
      <c r="H21" s="63" t="s">
        <v>39</v>
      </c>
      <c r="I21" s="63"/>
      <c r="J21" s="66" t="s">
        <v>40</v>
      </c>
      <c r="K21" s="53"/>
      <c r="L21" s="53"/>
    </row>
    <row r="22" spans="1:22" ht="18" customHeight="1" x14ac:dyDescent="0.25">
      <c r="A22" s="54">
        <v>2.36</v>
      </c>
      <c r="B22" s="54" t="s">
        <v>41</v>
      </c>
      <c r="C22" s="55">
        <v>444.7</v>
      </c>
      <c r="D22" s="56">
        <f t="shared" si="0"/>
        <v>6.7165080803504003</v>
      </c>
      <c r="E22" s="57">
        <f t="shared" si="2"/>
        <v>74.550672103911793</v>
      </c>
      <c r="F22" s="58">
        <f t="shared" si="1"/>
        <v>25.449327896088207</v>
      </c>
      <c r="G22" s="47"/>
      <c r="H22" s="53"/>
      <c r="I22" s="53"/>
      <c r="J22" s="53"/>
      <c r="K22" s="53"/>
      <c r="L22" s="53"/>
    </row>
    <row r="23" spans="1:22" ht="18" customHeight="1" x14ac:dyDescent="0.25">
      <c r="A23" s="54">
        <v>2</v>
      </c>
      <c r="B23" s="54" t="s">
        <v>42</v>
      </c>
      <c r="C23" s="55">
        <v>110.1</v>
      </c>
      <c r="D23" s="56">
        <f t="shared" si="0"/>
        <v>1.6628908019936564</v>
      </c>
      <c r="E23" s="57">
        <f t="shared" si="2"/>
        <v>76.213562905905448</v>
      </c>
      <c r="F23" s="58">
        <f t="shared" si="1"/>
        <v>23.786437094094552</v>
      </c>
      <c r="G23" s="67"/>
      <c r="H23" s="68" t="s">
        <v>43</v>
      </c>
      <c r="I23" s="68"/>
      <c r="J23" s="68"/>
      <c r="K23" s="68"/>
      <c r="L23" s="68"/>
    </row>
    <row r="24" spans="1:22" ht="18" customHeight="1" x14ac:dyDescent="0.25">
      <c r="A24" s="69">
        <v>1.18</v>
      </c>
      <c r="B24" s="54" t="s">
        <v>44</v>
      </c>
      <c r="C24" s="55">
        <v>248.5</v>
      </c>
      <c r="D24" s="56">
        <f t="shared" si="0"/>
        <v>3.753209484972059</v>
      </c>
      <c r="E24" s="57">
        <f t="shared" si="2"/>
        <v>79.966772390877509</v>
      </c>
      <c r="F24" s="58">
        <f t="shared" si="1"/>
        <v>20.033227609122491</v>
      </c>
      <c r="G24" s="67"/>
      <c r="H24" s="70"/>
      <c r="I24" s="71"/>
      <c r="J24" s="71"/>
      <c r="K24" s="71"/>
      <c r="L24" s="72"/>
    </row>
    <row r="25" spans="1:22" ht="18" customHeight="1" x14ac:dyDescent="0.25">
      <c r="A25" s="69">
        <v>0.6</v>
      </c>
      <c r="B25" s="54" t="s">
        <v>45</v>
      </c>
      <c r="C25" s="55">
        <v>409.8</v>
      </c>
      <c r="D25" s="56">
        <f t="shared" si="0"/>
        <v>6.1893973719981874</v>
      </c>
      <c r="E25" s="57">
        <f t="shared" si="2"/>
        <v>86.156169762875692</v>
      </c>
      <c r="F25" s="58">
        <f t="shared" si="1"/>
        <v>13.843830237124308</v>
      </c>
      <c r="G25" s="67"/>
      <c r="H25" s="70"/>
      <c r="I25" s="71"/>
      <c r="J25" s="71"/>
      <c r="K25" s="71"/>
      <c r="L25" s="72"/>
    </row>
    <row r="26" spans="1:22" ht="18" customHeight="1" x14ac:dyDescent="0.25">
      <c r="A26" s="54">
        <v>0.42499999999999999</v>
      </c>
      <c r="B26" s="54" t="s">
        <v>46</v>
      </c>
      <c r="C26" s="55">
        <v>369.7</v>
      </c>
      <c r="D26" s="56">
        <f t="shared" si="0"/>
        <v>5.583748678447364</v>
      </c>
      <c r="E26" s="57">
        <f t="shared" si="2"/>
        <v>91.739918441323056</v>
      </c>
      <c r="F26" s="58">
        <f t="shared" si="1"/>
        <v>8.2600815586769443</v>
      </c>
      <c r="G26" s="67"/>
      <c r="H26" s="70"/>
      <c r="I26" s="71"/>
      <c r="J26" s="71"/>
      <c r="K26" s="71"/>
      <c r="L26" s="72"/>
    </row>
    <row r="27" spans="1:22" ht="18" customHeight="1" x14ac:dyDescent="0.25">
      <c r="A27" s="69">
        <v>0.3</v>
      </c>
      <c r="B27" s="54" t="s">
        <v>47</v>
      </c>
      <c r="C27" s="55">
        <v>181.2</v>
      </c>
      <c r="D27" s="56">
        <f t="shared" si="0"/>
        <v>2.736746714997734</v>
      </c>
      <c r="E27" s="57">
        <f t="shared" si="2"/>
        <v>94.476665156320792</v>
      </c>
      <c r="F27" s="58">
        <f t="shared" si="1"/>
        <v>5.5233348436792085</v>
      </c>
      <c r="G27" s="67"/>
      <c r="H27" s="73"/>
      <c r="I27" s="74"/>
      <c r="J27" s="74"/>
      <c r="K27" s="74"/>
      <c r="L27" s="75"/>
    </row>
    <row r="28" spans="1:22" ht="18" customHeight="1" x14ac:dyDescent="0.25">
      <c r="A28" s="76">
        <v>0.15</v>
      </c>
      <c r="B28" s="54" t="s">
        <v>48</v>
      </c>
      <c r="C28" s="77">
        <v>100.5</v>
      </c>
      <c r="D28" s="56">
        <f t="shared" si="0"/>
        <v>1.517897598550068</v>
      </c>
      <c r="E28" s="57">
        <f t="shared" si="2"/>
        <v>95.994562754870856</v>
      </c>
      <c r="F28" s="58">
        <f t="shared" si="1"/>
        <v>4.0054372451291442</v>
      </c>
      <c r="G28" s="67"/>
      <c r="H28" s="73"/>
      <c r="I28" s="74"/>
      <c r="J28" s="74"/>
      <c r="K28" s="74"/>
      <c r="L28" s="75"/>
    </row>
    <row r="29" spans="1:22" ht="18" customHeight="1" x14ac:dyDescent="0.25">
      <c r="A29" s="54">
        <v>7.4999999999999997E-2</v>
      </c>
      <c r="B29" s="54" t="s">
        <v>49</v>
      </c>
      <c r="C29" s="78">
        <v>40.799999999999997</v>
      </c>
      <c r="D29" s="56">
        <f t="shared" si="0"/>
        <v>0.61622111463525142</v>
      </c>
      <c r="E29" s="57">
        <f t="shared" si="2"/>
        <v>96.610783869506108</v>
      </c>
      <c r="F29" s="58">
        <f>(100-E29)</f>
        <v>3.3892161304938924</v>
      </c>
      <c r="G29" s="67"/>
      <c r="H29" s="73"/>
      <c r="I29" s="74"/>
      <c r="J29" s="74"/>
      <c r="K29" s="74"/>
      <c r="L29" s="75"/>
    </row>
    <row r="30" spans="1:22" ht="18" customHeight="1" x14ac:dyDescent="0.25">
      <c r="A30" s="54"/>
      <c r="B30" s="54" t="s">
        <v>50</v>
      </c>
      <c r="C30" s="77">
        <v>8.1999999999999993</v>
      </c>
      <c r="D30" s="56">
        <f>(C30/$J$19)*100</f>
        <v>0.12384836127473191</v>
      </c>
      <c r="E30" s="57">
        <f t="shared" si="2"/>
        <v>96.734632230780846</v>
      </c>
      <c r="F30" s="79">
        <f>(100-E30)</f>
        <v>3.2653677692191536</v>
      </c>
      <c r="G30" s="80"/>
      <c r="H30" s="73"/>
      <c r="I30" s="74"/>
      <c r="J30" s="74"/>
      <c r="K30" s="74"/>
      <c r="L30" s="75"/>
    </row>
    <row r="31" spans="1:22" ht="18" customHeight="1" x14ac:dyDescent="0.25">
      <c r="A31" s="42"/>
      <c r="B31" s="42"/>
      <c r="C31" s="42"/>
      <c r="D31" s="42"/>
      <c r="E31" s="42"/>
      <c r="F31" s="42"/>
      <c r="G31" s="42"/>
      <c r="H31" s="42"/>
      <c r="O31" s="81"/>
      <c r="P31" s="81"/>
      <c r="Q31" s="81"/>
      <c r="R31" s="81"/>
      <c r="S31" s="81"/>
      <c r="T31" s="81"/>
      <c r="U31" s="81"/>
      <c r="V31" s="81"/>
    </row>
    <row r="32" spans="1:22" ht="18" customHeight="1" x14ac:dyDescent="0.25">
      <c r="A32" s="82" t="s">
        <v>51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4"/>
      <c r="O32" s="81"/>
      <c r="P32" s="81"/>
      <c r="Q32" s="81"/>
      <c r="R32" s="81"/>
      <c r="S32" s="81"/>
      <c r="T32" s="81"/>
      <c r="U32" s="81"/>
      <c r="V32" s="81"/>
    </row>
    <row r="33" spans="1:22" ht="18" customHeight="1" x14ac:dyDescent="0.25">
      <c r="A33" s="85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86"/>
      <c r="O33" s="81"/>
      <c r="P33" s="81"/>
      <c r="Q33" s="81"/>
      <c r="R33" s="81"/>
      <c r="S33" s="81"/>
      <c r="T33" s="81"/>
      <c r="U33" s="81"/>
      <c r="V33" s="81"/>
    </row>
    <row r="34" spans="1:22" ht="18" customHeight="1" x14ac:dyDescent="0.25">
      <c r="A34" s="85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86"/>
      <c r="O34" s="81"/>
      <c r="P34" s="81"/>
      <c r="Q34" s="81"/>
      <c r="R34" s="81"/>
      <c r="S34" s="81"/>
      <c r="T34" s="81"/>
      <c r="U34" s="81"/>
      <c r="V34" s="81"/>
    </row>
    <row r="35" spans="1:22" ht="18" customHeight="1" x14ac:dyDescent="0.25">
      <c r="A35" s="85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86"/>
      <c r="N35" s="44" t="s">
        <v>52</v>
      </c>
      <c r="O35" s="87" t="str">
        <f>+A14</f>
        <v>mm</v>
      </c>
      <c r="P35" s="87" t="s">
        <v>53</v>
      </c>
      <c r="Q35" s="88" t="s">
        <v>54</v>
      </c>
      <c r="R35" s="88" t="s">
        <v>55</v>
      </c>
      <c r="S35" s="81"/>
      <c r="T35" s="81"/>
      <c r="U35" s="81"/>
      <c r="V35" s="81"/>
    </row>
    <row r="36" spans="1:22" ht="18" customHeight="1" x14ac:dyDescent="0.25">
      <c r="A36" s="85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86"/>
      <c r="N36" s="44">
        <v>2</v>
      </c>
      <c r="O36" s="89">
        <f>A15</f>
        <v>50</v>
      </c>
      <c r="P36" s="90">
        <f>F15</f>
        <v>100</v>
      </c>
      <c r="Q36" s="91">
        <v>100</v>
      </c>
      <c r="R36" s="91">
        <v>100</v>
      </c>
      <c r="S36" s="81"/>
      <c r="T36" s="81"/>
      <c r="U36" s="81"/>
      <c r="V36" s="81"/>
    </row>
    <row r="37" spans="1:22" ht="18" customHeight="1" x14ac:dyDescent="0.25">
      <c r="A37" s="85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86"/>
      <c r="N37" s="92">
        <v>1.5</v>
      </c>
      <c r="O37" s="89">
        <f>A16</f>
        <v>37.5</v>
      </c>
      <c r="P37" s="90">
        <f>F16</f>
        <v>86.48089412475457</v>
      </c>
      <c r="Q37" s="91">
        <v>70</v>
      </c>
      <c r="R37" s="91">
        <v>95</v>
      </c>
      <c r="S37" s="81"/>
      <c r="T37" s="81"/>
      <c r="U37" s="81"/>
      <c r="V37" s="81"/>
    </row>
    <row r="38" spans="1:22" ht="18" customHeight="1" x14ac:dyDescent="0.25">
      <c r="A38" s="85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86"/>
      <c r="N38" s="44">
        <v>1</v>
      </c>
      <c r="O38" s="89">
        <f>A17</f>
        <v>25</v>
      </c>
      <c r="P38" s="90">
        <f>F17</f>
        <v>69.94411720283945</v>
      </c>
      <c r="Q38" s="91">
        <v>60</v>
      </c>
      <c r="R38" s="91">
        <v>90</v>
      </c>
      <c r="S38" s="81"/>
      <c r="T38" s="81"/>
      <c r="U38" s="81"/>
      <c r="V38" s="81"/>
    </row>
    <row r="39" spans="1:22" ht="18" customHeight="1" x14ac:dyDescent="0.25">
      <c r="A39" s="85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86"/>
      <c r="N39" s="93" t="s">
        <v>56</v>
      </c>
      <c r="O39" s="89">
        <f>A19</f>
        <v>12.7</v>
      </c>
      <c r="P39" s="90">
        <f>F19</f>
        <v>49.814227458087899</v>
      </c>
      <c r="Q39" s="91">
        <v>45</v>
      </c>
      <c r="R39" s="91">
        <v>75</v>
      </c>
      <c r="S39" s="81"/>
      <c r="T39" s="81"/>
      <c r="U39" s="81"/>
      <c r="V39" s="81"/>
    </row>
    <row r="40" spans="1:22" ht="18" customHeight="1" x14ac:dyDescent="0.25">
      <c r="A40" s="85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86"/>
      <c r="N40" s="93" t="s">
        <v>57</v>
      </c>
      <c r="O40" s="89">
        <f>A20</f>
        <v>9.5</v>
      </c>
      <c r="P40" s="90">
        <f t="shared" ref="P40:P41" si="3">F20</f>
        <v>44.141368373357494</v>
      </c>
      <c r="Q40" s="91">
        <v>40</v>
      </c>
      <c r="R40" s="91">
        <v>70</v>
      </c>
      <c r="S40" s="81"/>
      <c r="T40" s="81"/>
      <c r="U40" s="81"/>
      <c r="V40" s="81"/>
    </row>
    <row r="41" spans="1:22" ht="18" customHeight="1" x14ac:dyDescent="0.25">
      <c r="A41" s="85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86"/>
      <c r="N41" s="94" t="s">
        <v>58</v>
      </c>
      <c r="O41" s="89">
        <f>A21</f>
        <v>4.75</v>
      </c>
      <c r="P41" s="90">
        <f t="shared" si="3"/>
        <v>32.165835976438601</v>
      </c>
      <c r="Q41" s="91">
        <v>25</v>
      </c>
      <c r="R41" s="91">
        <v>55</v>
      </c>
      <c r="S41" s="81"/>
      <c r="T41" s="81"/>
      <c r="U41" s="81"/>
      <c r="V41" s="81"/>
    </row>
    <row r="42" spans="1:22" ht="18" customHeight="1" x14ac:dyDescent="0.25">
      <c r="A42" s="85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86"/>
      <c r="N42" s="94" t="s">
        <v>59</v>
      </c>
      <c r="O42" s="89">
        <f>A23</f>
        <v>2</v>
      </c>
      <c r="P42" s="90">
        <f>F23</f>
        <v>23.786437094094552</v>
      </c>
      <c r="Q42" s="91">
        <v>15</v>
      </c>
      <c r="R42" s="91">
        <v>40</v>
      </c>
      <c r="S42" s="81"/>
      <c r="T42" s="81"/>
      <c r="U42" s="81"/>
      <c r="V42" s="81"/>
    </row>
    <row r="43" spans="1:22" ht="18" customHeight="1" x14ac:dyDescent="0.25">
      <c r="A43" s="85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86"/>
      <c r="N43" s="94" t="s">
        <v>60</v>
      </c>
      <c r="O43" s="89">
        <f>A26</f>
        <v>0.42499999999999999</v>
      </c>
      <c r="P43" s="90">
        <f>F26</f>
        <v>8.2600815586769443</v>
      </c>
      <c r="Q43" s="91">
        <v>6</v>
      </c>
      <c r="R43" s="91">
        <v>25</v>
      </c>
      <c r="S43" s="81"/>
      <c r="T43" s="81"/>
      <c r="U43" s="81"/>
      <c r="V43" s="81"/>
    </row>
    <row r="44" spans="1:22" ht="18" customHeight="1" x14ac:dyDescent="0.25">
      <c r="A44" s="85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86"/>
      <c r="N44" s="94" t="s">
        <v>61</v>
      </c>
      <c r="O44" s="89">
        <f>A28</f>
        <v>0.15</v>
      </c>
      <c r="P44" s="90">
        <f>F28</f>
        <v>4.0054372451291442</v>
      </c>
      <c r="Q44" s="91">
        <v>3</v>
      </c>
      <c r="R44" s="91">
        <v>18</v>
      </c>
      <c r="S44" s="81"/>
      <c r="T44" s="81"/>
      <c r="U44" s="81"/>
      <c r="V44" s="81"/>
    </row>
    <row r="45" spans="1:22" ht="18" customHeight="1" x14ac:dyDescent="0.25">
      <c r="A45" s="85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86"/>
      <c r="N45" s="94" t="s">
        <v>62</v>
      </c>
      <c r="O45" s="89">
        <f>A29</f>
        <v>7.4999999999999997E-2</v>
      </c>
      <c r="P45" s="90">
        <f>F29</f>
        <v>3.3892161304938924</v>
      </c>
      <c r="Q45" s="91">
        <v>2</v>
      </c>
      <c r="R45" s="91">
        <v>15</v>
      </c>
      <c r="S45" s="81"/>
      <c r="T45" s="81"/>
      <c r="U45" s="81"/>
      <c r="V45" s="81"/>
    </row>
    <row r="46" spans="1:22" ht="18" customHeight="1" x14ac:dyDescent="0.25">
      <c r="A46" s="85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86"/>
      <c r="O46" s="95"/>
      <c r="P46" s="96"/>
      <c r="Q46" s="97"/>
      <c r="R46" s="97"/>
      <c r="S46" s="81"/>
      <c r="T46" s="81"/>
      <c r="U46" s="81"/>
      <c r="V46" s="81"/>
    </row>
    <row r="47" spans="1:22" ht="18" customHeight="1" x14ac:dyDescent="0.25">
      <c r="A47" s="85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86"/>
      <c r="O47" s="95"/>
      <c r="P47" s="96"/>
      <c r="Q47" s="97"/>
      <c r="R47" s="97"/>
      <c r="S47" s="81"/>
      <c r="T47" s="81"/>
      <c r="U47" s="81"/>
      <c r="V47" s="81"/>
    </row>
    <row r="48" spans="1:22" ht="18" customHeight="1" x14ac:dyDescent="0.25">
      <c r="A48" s="85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86"/>
      <c r="O48" s="95"/>
      <c r="P48" s="96"/>
      <c r="Q48" s="97"/>
      <c r="R48" s="97"/>
      <c r="T48" s="81"/>
      <c r="U48" s="81"/>
      <c r="V48" s="81"/>
    </row>
    <row r="49" spans="1:22" ht="18" customHeight="1" x14ac:dyDescent="0.25">
      <c r="A49" s="85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86"/>
      <c r="O49" s="81"/>
      <c r="P49" s="81"/>
      <c r="Q49" s="81"/>
      <c r="R49" s="81"/>
      <c r="T49" s="81"/>
      <c r="U49" s="81"/>
      <c r="V49" s="81"/>
    </row>
    <row r="50" spans="1:22" ht="18" customHeight="1" x14ac:dyDescent="0.25">
      <c r="A50" s="85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86"/>
      <c r="O50" s="81"/>
      <c r="P50" s="81"/>
      <c r="Q50" s="81"/>
      <c r="R50" s="81"/>
      <c r="T50" s="81"/>
      <c r="U50" s="81"/>
      <c r="V50" s="81"/>
    </row>
    <row r="51" spans="1:22" ht="18" customHeight="1" x14ac:dyDescent="0.25">
      <c r="A51" s="98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100"/>
      <c r="O51" s="95"/>
      <c r="P51" s="101"/>
      <c r="Q51" s="101"/>
      <c r="R51" s="101"/>
    </row>
    <row r="52" spans="1:22" ht="18" customHeight="1" x14ac:dyDescent="0.25">
      <c r="A52" s="102"/>
      <c r="B52" s="102"/>
      <c r="C52" s="102"/>
      <c r="D52" s="102"/>
      <c r="E52" s="102"/>
      <c r="F52" s="102"/>
      <c r="G52" s="102"/>
      <c r="H52" s="102"/>
    </row>
    <row r="53" spans="1:22" ht="25.9" customHeight="1" x14ac:dyDescent="0.25">
      <c r="A53" s="103" t="s">
        <v>63</v>
      </c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</row>
    <row r="54" spans="1:22" ht="19.149999999999999" customHeight="1" x14ac:dyDescent="0.25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</row>
    <row r="55" spans="1:22" ht="19.149999999999999" customHeight="1" x14ac:dyDescent="0.25">
      <c r="A55" s="105"/>
      <c r="B55" s="103" t="s">
        <v>64</v>
      </c>
      <c r="C55" s="103"/>
      <c r="D55" s="103"/>
      <c r="E55" s="103"/>
      <c r="F55" s="106"/>
      <c r="G55" s="103" t="s">
        <v>65</v>
      </c>
      <c r="H55" s="103"/>
      <c r="I55" s="103"/>
      <c r="J55" s="103"/>
      <c r="K55" s="103"/>
      <c r="L55" s="106"/>
    </row>
    <row r="56" spans="1:22" ht="19.149999999999999" customHeight="1" x14ac:dyDescent="0.25">
      <c r="A56" s="105"/>
      <c r="B56" s="107"/>
      <c r="C56" s="107"/>
      <c r="D56" s="107"/>
      <c r="E56" s="107"/>
      <c r="F56" s="106"/>
      <c r="G56" s="107"/>
      <c r="H56" s="107"/>
      <c r="I56" s="107"/>
      <c r="J56" s="107"/>
      <c r="K56" s="107"/>
      <c r="L56" s="106"/>
    </row>
    <row r="57" spans="1:22" ht="19.149999999999999" customHeight="1" x14ac:dyDescent="0.25">
      <c r="A57" s="105"/>
      <c r="B57" s="107"/>
      <c r="C57" s="107"/>
      <c r="D57" s="107"/>
      <c r="E57" s="107"/>
      <c r="F57" s="106"/>
      <c r="G57" s="107"/>
      <c r="H57" s="107"/>
      <c r="I57" s="107"/>
      <c r="J57" s="107"/>
      <c r="K57" s="107"/>
      <c r="L57" s="106"/>
    </row>
    <row r="58" spans="1:22" ht="19.149999999999999" customHeight="1" x14ac:dyDescent="0.25">
      <c r="A58" s="105"/>
      <c r="B58" s="108" t="s">
        <v>66</v>
      </c>
      <c r="C58" s="107" t="s">
        <v>17</v>
      </c>
      <c r="D58" s="107"/>
      <c r="E58" s="107"/>
      <c r="F58" s="106"/>
      <c r="G58" s="109" t="s">
        <v>66</v>
      </c>
      <c r="H58" s="109"/>
      <c r="I58" s="107" t="s">
        <v>67</v>
      </c>
      <c r="J58" s="107"/>
      <c r="K58" s="107"/>
      <c r="L58" s="106"/>
    </row>
    <row r="59" spans="1:22" ht="19.149999999999999" customHeight="1" x14ac:dyDescent="0.25">
      <c r="A59" s="105"/>
      <c r="B59" s="108" t="s">
        <v>68</v>
      </c>
      <c r="C59" s="107" t="s">
        <v>16</v>
      </c>
      <c r="D59" s="107"/>
      <c r="E59" s="107"/>
      <c r="F59" s="106"/>
      <c r="G59" s="109" t="s">
        <v>68</v>
      </c>
      <c r="H59" s="109"/>
      <c r="I59" s="107" t="s">
        <v>69</v>
      </c>
      <c r="J59" s="107"/>
      <c r="K59" s="107"/>
      <c r="L59" s="106"/>
    </row>
    <row r="60" spans="1:22" ht="18" customHeight="1" x14ac:dyDescent="0.25">
      <c r="A60" s="42"/>
      <c r="B60" s="42"/>
      <c r="C60" s="42"/>
      <c r="D60" s="42"/>
      <c r="E60" s="102"/>
      <c r="F60" s="102"/>
      <c r="G60" s="102"/>
    </row>
    <row r="61" spans="1:22" ht="18" customHeight="1" x14ac:dyDescent="0.25">
      <c r="A61" s="42"/>
      <c r="B61" s="42"/>
      <c r="C61" s="42"/>
      <c r="D61" s="102"/>
      <c r="E61" s="42"/>
      <c r="F61" s="42"/>
      <c r="G61" s="42"/>
    </row>
    <row r="62" spans="1:22" ht="18" customHeight="1" x14ac:dyDescent="0.25">
      <c r="A62" s="42"/>
      <c r="B62" s="42"/>
      <c r="C62" s="42"/>
      <c r="D62" s="42"/>
      <c r="E62" s="42"/>
      <c r="F62" s="42"/>
      <c r="G62" s="42"/>
    </row>
    <row r="63" spans="1:22" ht="18" customHeight="1" x14ac:dyDescent="0.25">
      <c r="A63" s="42"/>
      <c r="B63" s="42"/>
      <c r="D63" s="42"/>
    </row>
  </sheetData>
  <mergeCells count="47">
    <mergeCell ref="C58:E58"/>
    <mergeCell ref="G58:H58"/>
    <mergeCell ref="I58:K58"/>
    <mergeCell ref="C59:E59"/>
    <mergeCell ref="G59:H59"/>
    <mergeCell ref="I59:K59"/>
    <mergeCell ref="A53:L53"/>
    <mergeCell ref="A54:L54"/>
    <mergeCell ref="B55:E55"/>
    <mergeCell ref="G55:K55"/>
    <mergeCell ref="B56:E57"/>
    <mergeCell ref="G56:K57"/>
    <mergeCell ref="H14:I14"/>
    <mergeCell ref="H15:I15"/>
    <mergeCell ref="H16:I16"/>
    <mergeCell ref="H17:I17"/>
    <mergeCell ref="H23:L23"/>
    <mergeCell ref="A32:L32"/>
    <mergeCell ref="A13:B13"/>
    <mergeCell ref="C13:C14"/>
    <mergeCell ref="D13:D14"/>
    <mergeCell ref="E13:E14"/>
    <mergeCell ref="F13:F14"/>
    <mergeCell ref="G13:G29"/>
    <mergeCell ref="A9:L9"/>
    <mergeCell ref="A10:B10"/>
    <mergeCell ref="C10:D10"/>
    <mergeCell ref="E10:F10"/>
    <mergeCell ref="I10:L10"/>
    <mergeCell ref="A11:B11"/>
    <mergeCell ref="C11:D11"/>
    <mergeCell ref="E11:F11"/>
    <mergeCell ref="I11:L11"/>
    <mergeCell ref="A5:L5"/>
    <mergeCell ref="A6:L6"/>
    <mergeCell ref="A7:B7"/>
    <mergeCell ref="C7:H7"/>
    <mergeCell ref="J7:L7"/>
    <mergeCell ref="A8:B8"/>
    <mergeCell ref="C8:H8"/>
    <mergeCell ref="J8:L8"/>
    <mergeCell ref="A1:B3"/>
    <mergeCell ref="C1:J3"/>
    <mergeCell ref="K1:L1"/>
    <mergeCell ref="K2:L2"/>
    <mergeCell ref="K3:L3"/>
    <mergeCell ref="A4:L4"/>
  </mergeCells>
  <printOptions horizontalCentered="1"/>
  <pageMargins left="0.35433070866141736" right="0.35433070866141736" top="0.59055118110236227" bottom="0.59055118110236227" header="0.51181102362204722" footer="0.51181102362204722"/>
  <pageSetup paperSize="9" scale="5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LAB-FR-01-2025 (8)</vt:lpstr>
      <vt:lpstr>'LAB-FR-01-2025 (8)'!Área_de_impresión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2026-09-24T15:09:50Z</dcterms:created>
  <dcterms:modified xsi:type="dcterms:W3CDTF">2026-09-24T15:10:12Z</dcterms:modified>
</cp:coreProperties>
</file>